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formaneuver-my.sharepoint.us/personal/rob_kuelbs_shield_ai/Documents/Documents/Miata/"/>
    </mc:Choice>
  </mc:AlternateContent>
  <xr:revisionPtr revIDLastSave="7" documentId="8_{88A26781-0A8E-4E49-9E21-C4F39EEBF44C}" xr6:coauthVersionLast="47" xr6:coauthVersionMax="47" xr10:uidLastSave="{0A64B57F-8BB1-4844-A5CD-596278D4E2DC}"/>
  <bookViews>
    <workbookView xWindow="-120" yWindow="-120" windowWidth="29040" windowHeight="17520" activeTab="2" xr2:uid="{5CB7ED78-F18E-4FF4-B78C-6300A5C08EC5}"/>
  </bookViews>
  <sheets>
    <sheet name="MEL" sheetId="1" r:id="rId1"/>
    <sheet name="ECU" sheetId="3" r:id="rId2"/>
    <sheet name="PDM" sheetId="5" r:id="rId3"/>
    <sheet name="WHEEL" sheetId="6" r:id="rId4"/>
    <sheet name="DASH SCREENS" sheetId="7" r:id="rId5"/>
    <sheet name="DATA MUX" sheetId="8" r:id="rId6"/>
    <sheet name="Signals" sheetId="4" r:id="rId7"/>
    <sheet name="Definitions" sheetId="2" r:id="rId8"/>
  </sheets>
  <definedNames>
    <definedName name="_xlnm._FilterDatabase" localSheetId="1" hidden="1">ECU!$A$1:$F$36</definedName>
    <definedName name="_xlnm._FilterDatabase" localSheetId="0" hidden="1">MEL!$A$1:$N$21</definedName>
    <definedName name="_xlnm._FilterDatabase" localSheetId="2" hidden="1">PDM!$B$1:$G$1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7" i="4" l="1"/>
  <c r="H56" i="4"/>
  <c r="H55" i="4"/>
  <c r="H54" i="4"/>
  <c r="H53" i="4"/>
  <c r="H52" i="4"/>
  <c r="H51" i="4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2" i="4"/>
</calcChain>
</file>

<file path=xl/sharedStrings.xml><?xml version="1.0" encoding="utf-8"?>
<sst xmlns="http://schemas.openxmlformats.org/spreadsheetml/2006/main" count="1058" uniqueCount="452">
  <si>
    <t>LIGHTING</t>
  </si>
  <si>
    <t>HEADLIGHTS</t>
  </si>
  <si>
    <t>LEFT</t>
  </si>
  <si>
    <t>LOW BEAM</t>
  </si>
  <si>
    <t>SYSTEM</t>
  </si>
  <si>
    <t>SUBSYSTEM</t>
  </si>
  <si>
    <t>COMPONENT</t>
  </si>
  <si>
    <t>ID</t>
  </si>
  <si>
    <t>ZONE</t>
  </si>
  <si>
    <t>HARNESS</t>
  </si>
  <si>
    <t>VOLTS</t>
  </si>
  <si>
    <t>AMPS</t>
  </si>
  <si>
    <t>INTERFACE</t>
  </si>
  <si>
    <t>PWR WIRE</t>
  </si>
  <si>
    <t>DATA WIRE</t>
  </si>
  <si>
    <t>HIGH BEAM</t>
  </si>
  <si>
    <t>LOW BEAM'</t>
  </si>
  <si>
    <t>PN</t>
  </si>
  <si>
    <t>CONNECTOR</t>
  </si>
  <si>
    <t>PARK LIGHTS</t>
  </si>
  <si>
    <t>RIGHT</t>
  </si>
  <si>
    <t>SIDE MARK</t>
  </si>
  <si>
    <t>FRONT MARKER</t>
  </si>
  <si>
    <t>TAIL LIGHT</t>
  </si>
  <si>
    <t>BRAKE LIGHTS</t>
  </si>
  <si>
    <t>BRAKE LIGHT</t>
  </si>
  <si>
    <t>TO</t>
  </si>
  <si>
    <t>LICENSE LIGHT</t>
  </si>
  <si>
    <t>TURN SIGNALS</t>
  </si>
  <si>
    <t>FRONT TURN</t>
  </si>
  <si>
    <t>REAR TURN</t>
  </si>
  <si>
    <t>ENGINE</t>
  </si>
  <si>
    <t>FUEL INJECTION</t>
  </si>
  <si>
    <t>INJECTOR</t>
  </si>
  <si>
    <t>IGNITION</t>
  </si>
  <si>
    <t>IGNITION COIL</t>
  </si>
  <si>
    <t>CKP SENSOR</t>
  </si>
  <si>
    <t>SENSING</t>
  </si>
  <si>
    <t>ECT SENSOR</t>
  </si>
  <si>
    <t>FLEX FUEL SENSOR</t>
  </si>
  <si>
    <t>TMAP SENSOR</t>
  </si>
  <si>
    <t>OIL PSI SENSOR</t>
  </si>
  <si>
    <t>WIDEBAND LAMBDA</t>
  </si>
  <si>
    <t>PIN</t>
  </si>
  <si>
    <t>NAME</t>
  </si>
  <si>
    <t>DEVICE</t>
  </si>
  <si>
    <t>12V</t>
  </si>
  <si>
    <t>CANH</t>
  </si>
  <si>
    <t>CANL</t>
  </si>
  <si>
    <t>VR2+</t>
  </si>
  <si>
    <t>FLEX</t>
  </si>
  <si>
    <t>FIDLE</t>
  </si>
  <si>
    <t>FPUMP</t>
  </si>
  <si>
    <t>IN/OUT</t>
  </si>
  <si>
    <t>TYPE</t>
  </si>
  <si>
    <t>PWR</t>
  </si>
  <si>
    <t>BUS</t>
  </si>
  <si>
    <t>INPUT</t>
  </si>
  <si>
    <t>OUTPUT</t>
  </si>
  <si>
    <t>INJ1</t>
  </si>
  <si>
    <t>INJ2</t>
  </si>
  <si>
    <t>IGN1</t>
  </si>
  <si>
    <t>IGN2</t>
  </si>
  <si>
    <t>RXOUT</t>
  </si>
  <si>
    <t>TXOUT</t>
  </si>
  <si>
    <t>BOOT</t>
  </si>
  <si>
    <t>ALED</t>
  </si>
  <si>
    <t>WLED</t>
  </si>
  <si>
    <t>SGND</t>
  </si>
  <si>
    <t>SERGND</t>
  </si>
  <si>
    <t>VR2-</t>
  </si>
  <si>
    <t>PGND</t>
  </si>
  <si>
    <t>MAP</t>
  </si>
  <si>
    <t>CLT</t>
  </si>
  <si>
    <t>MAT</t>
  </si>
  <si>
    <t>TPS</t>
  </si>
  <si>
    <t>VREF</t>
  </si>
  <si>
    <t>OPTO+</t>
  </si>
  <si>
    <t>OPTO-</t>
  </si>
  <si>
    <t>VR1+</t>
  </si>
  <si>
    <t>VR1-</t>
  </si>
  <si>
    <t>O2</t>
  </si>
  <si>
    <t>TACH</t>
  </si>
  <si>
    <t>CAN BUS</t>
  </si>
  <si>
    <t>INPUT POWER</t>
  </si>
  <si>
    <t>AWG</t>
  </si>
  <si>
    <t>COLOR</t>
  </si>
  <si>
    <t>INJECTOR 1-4</t>
  </si>
  <si>
    <t>INJECTOR 2-3</t>
  </si>
  <si>
    <t>IGNITION COIL 2-3</t>
  </si>
  <si>
    <t>IGNITION COIL 1-4</t>
  </si>
  <si>
    <t>CKP</t>
  </si>
  <si>
    <t>NC</t>
  </si>
  <si>
    <t>ADC</t>
  </si>
  <si>
    <t>TMAP</t>
  </si>
  <si>
    <t>ADC7</t>
  </si>
  <si>
    <t>IAC VALVE</t>
  </si>
  <si>
    <t>NOTES</t>
  </si>
  <si>
    <t>ADD FLYBACK</t>
  </si>
  <si>
    <t>BOOST CONTROL</t>
  </si>
  <si>
    <t>WIDEBAND CONTROLLER</t>
  </si>
  <si>
    <t>14point7 Spartan 3 Lite V2</t>
  </si>
  <si>
    <t>ECU SERIAL</t>
  </si>
  <si>
    <t>BOOTLOADER PIN</t>
  </si>
  <si>
    <t>ECT</t>
  </si>
  <si>
    <t>FUEL TOTALIZER</t>
  </si>
  <si>
    <t>Spartan 3 Lite v2 | 14Point7</t>
  </si>
  <si>
    <t>SPARTAN3</t>
  </si>
  <si>
    <t>ENG</t>
  </si>
  <si>
    <t>UNDER</t>
  </si>
  <si>
    <t>KNOCK DETECTION</t>
  </si>
  <si>
    <t>MOVICHIP KSC3 detection</t>
  </si>
  <si>
    <t>SIGNAL</t>
  </si>
  <si>
    <t>DISPLAY NAME</t>
  </si>
  <si>
    <t>SOURCE</t>
  </si>
  <si>
    <t>UNITS</t>
  </si>
  <si>
    <t>BASE ID</t>
  </si>
  <si>
    <t>OFFSET</t>
  </si>
  <si>
    <t>SIZE</t>
  </si>
  <si>
    <t>SIGN</t>
  </si>
  <si>
    <t>DESCRIPTION</t>
  </si>
  <si>
    <t>MULT</t>
  </si>
  <si>
    <t>DIVIDE</t>
  </si>
  <si>
    <t>ADD</t>
  </si>
  <si>
    <t>-</t>
  </si>
  <si>
    <t>Y</t>
  </si>
  <si>
    <t>Seconds ECU has been on</t>
  </si>
  <si>
    <t>s</t>
  </si>
  <si>
    <t>Main pulsewidth bank 1</t>
  </si>
  <si>
    <t>ms</t>
  </si>
  <si>
    <t>Main pulsewidth bank 2</t>
  </si>
  <si>
    <t>Engine RPM</t>
  </si>
  <si>
    <t>RPM</t>
  </si>
  <si>
    <t>Final ignition spark advance</t>
  </si>
  <si>
    <t>deg BTDC</t>
  </si>
  <si>
    <t>Bitfield of batch fire injector events</t>
  </si>
  <si>
    <t>Bitfield of engine status</t>
  </si>
  <si>
    <t>Bank 1 AFR target</t>
  </si>
  <si>
    <t>AFR</t>
  </si>
  <si>
    <t>Barometric pressure</t>
  </si>
  <si>
    <t>kPa</t>
  </si>
  <si>
    <t>Manifold air pressure</t>
  </si>
  <si>
    <t>Manifold air temperature</t>
  </si>
  <si>
    <t>deg F</t>
  </si>
  <si>
    <t>Coolant temperature</t>
  </si>
  <si>
    <t>Throttle position</t>
  </si>
  <si>
    <t>%</t>
  </si>
  <si>
    <t>V</t>
  </si>
  <si>
    <t>AFR1 (Deprecated on MS3)</t>
  </si>
  <si>
    <t>AFR2 (Deprecated on MS3)</t>
  </si>
  <si>
    <t>Indication of knock input</t>
  </si>
  <si>
    <t>EGO bank 1 correction</t>
  </si>
  <si>
    <t>EGO bank2 correction</t>
  </si>
  <si>
    <t>Air density correction</t>
  </si>
  <si>
    <t>Warmup correction</t>
  </si>
  <si>
    <t>TPS-based acceleration</t>
  </si>
  <si>
    <t>TPS-based fuel cut</t>
  </si>
  <si>
    <t>Barometric fuel correction</t>
  </si>
  <si>
    <t>Total fuel correction</t>
  </si>
  <si>
    <t>VE value table/bank 1</t>
  </si>
  <si>
    <t>VE value table/bank 2</t>
  </si>
  <si>
    <t>Cold advance</t>
  </si>
  <si>
    <t>deg</t>
  </si>
  <si>
    <t>Rate of change of TPS</t>
  </si>
  <si>
    <t>%/s</t>
  </si>
  <si>
    <t>Rate of change of MAP</t>
  </si>
  <si>
    <t>kPa/s</t>
  </si>
  <si>
    <t>Rate of change of RPM</t>
  </si>
  <si>
    <t>RPM/s</t>
  </si>
  <si>
    <t>Adjustment to fuel from Flex</t>
  </si>
  <si>
    <t>Voltage from O2#1 (Deprecated on MS3)</t>
  </si>
  <si>
    <t>Voltage from O2#2 (Deprecated on MS3)</t>
  </si>
  <si>
    <t>Main ignition dwell</t>
  </si>
  <si>
    <t>Trailing ignition dwell</t>
  </si>
  <si>
    <t>Target boost - channel 1</t>
  </si>
  <si>
    <t>Duty cycle on boost solenoid 1</t>
  </si>
  <si>
    <t>Ethanol content of fuel from Flex sensor</t>
  </si>
  <si>
    <t>TPSdot based accel</t>
  </si>
  <si>
    <t>MAPdot based accel</t>
  </si>
  <si>
    <t>Total accel</t>
  </si>
  <si>
    <t>Knock retard</t>
  </si>
  <si>
    <t>Average fuel flow</t>
  </si>
  <si>
    <t>cc/min</t>
  </si>
  <si>
    <t>Base timing from tables</t>
  </si>
  <si>
    <t>Idle correction advance</t>
  </si>
  <si>
    <t>MAT retard</t>
  </si>
  <si>
    <t>Flex advance</t>
  </si>
  <si>
    <t>pw1</t>
  </si>
  <si>
    <t>pw2</t>
  </si>
  <si>
    <t>rpm</t>
  </si>
  <si>
    <t>adv_deg</t>
  </si>
  <si>
    <t>squirt</t>
  </si>
  <si>
    <t>engine</t>
  </si>
  <si>
    <t>afrtgt1</t>
  </si>
  <si>
    <t>baro</t>
  </si>
  <si>
    <t>map</t>
  </si>
  <si>
    <t>mat</t>
  </si>
  <si>
    <t>clt</t>
  </si>
  <si>
    <t>tps</t>
  </si>
  <si>
    <t>afr1_old</t>
  </si>
  <si>
    <t>afr2_old</t>
  </si>
  <si>
    <t>knock</t>
  </si>
  <si>
    <t>egocor1</t>
  </si>
  <si>
    <t>egocor2</t>
  </si>
  <si>
    <t>aircor</t>
  </si>
  <si>
    <t>warmcor</t>
  </si>
  <si>
    <t>tpsaccel</t>
  </si>
  <si>
    <t>tpsfuelcut</t>
  </si>
  <si>
    <t>barocor</t>
  </si>
  <si>
    <t>totalcor</t>
  </si>
  <si>
    <t>ve1</t>
  </si>
  <si>
    <t>ve2</t>
  </si>
  <si>
    <t>cold_adv_deg</t>
  </si>
  <si>
    <t>TPSdot</t>
  </si>
  <si>
    <t>MAPdot</t>
  </si>
  <si>
    <t>RPMdot</t>
  </si>
  <si>
    <t>fuelcor</t>
  </si>
  <si>
    <t>egoV1</t>
  </si>
  <si>
    <t>egoV2</t>
  </si>
  <si>
    <t>dwell</t>
  </si>
  <si>
    <t>dwell_trl</t>
  </si>
  <si>
    <t>boost_targ_1</t>
  </si>
  <si>
    <t>boostduty</t>
  </si>
  <si>
    <t>fuel_pct</t>
  </si>
  <si>
    <t>tps_accel</t>
  </si>
  <si>
    <t>map_accel</t>
  </si>
  <si>
    <t>total_accel</t>
  </si>
  <si>
    <t>knk_rtd</t>
  </si>
  <si>
    <t>fuelflow</t>
  </si>
  <si>
    <t>base_advance</t>
  </si>
  <si>
    <t>idle_cor_advance</t>
  </si>
  <si>
    <t>mat_retard</t>
  </si>
  <si>
    <t>flex_advance</t>
  </si>
  <si>
    <t>ECU</t>
  </si>
  <si>
    <t>PWM idle value duty</t>
  </si>
  <si>
    <t>iacduty</t>
  </si>
  <si>
    <t>duty%</t>
  </si>
  <si>
    <t>ecu_time</t>
  </si>
  <si>
    <t>VALID MIN</t>
  </si>
  <si>
    <t>VALID MAX</t>
  </si>
  <si>
    <t>CAUT MIN</t>
  </si>
  <si>
    <t>CAUT MAX</t>
  </si>
  <si>
    <t>WARN MIN</t>
  </si>
  <si>
    <t>WARN MAX</t>
  </si>
  <si>
    <t>ecu_volt</t>
  </si>
  <si>
    <t>Battery voltage at ECU</t>
  </si>
  <si>
    <t>VARIABLE INTAKE RUNNERS</t>
  </si>
  <si>
    <t>IN</t>
  </si>
  <si>
    <t>OUT</t>
  </si>
  <si>
    <t>PWM</t>
  </si>
  <si>
    <t>ALTERNATOR CONTROL</t>
  </si>
  <si>
    <t>OUTSIDE AIR TEMP</t>
  </si>
  <si>
    <t>FET W/ 5V PULLUP</t>
  </si>
  <si>
    <t>LEFT WINDOW DOWN</t>
  </si>
  <si>
    <t>LEFT WINDOW UP</t>
  </si>
  <si>
    <t>RIGHT WINDOW DOWN</t>
  </si>
  <si>
    <t>RIGHT WINDOW UP</t>
  </si>
  <si>
    <t>DISC</t>
  </si>
  <si>
    <t>WIPE</t>
  </si>
  <si>
    <t>R TURN</t>
  </si>
  <si>
    <t>L TURN</t>
  </si>
  <si>
    <t>ACK</t>
  </si>
  <si>
    <t>FWD</t>
  </si>
  <si>
    <t>BACK</t>
  </si>
  <si>
    <t>BOOST</t>
  </si>
  <si>
    <t>FLASH</t>
  </si>
  <si>
    <t>ITEM</t>
  </si>
  <si>
    <t>STREET</t>
  </si>
  <si>
    <t>TRACK</t>
  </si>
  <si>
    <t>MAINT</t>
  </si>
  <si>
    <t>ANALOG TACH</t>
  </si>
  <si>
    <t>ANALOG SPEEDO</t>
  </si>
  <si>
    <t>DIGITAL SPEEDO</t>
  </si>
  <si>
    <t>SHIFT LIGHT</t>
  </si>
  <si>
    <t>SHIFT LIGHT (PROGRESSIVE)</t>
  </si>
  <si>
    <t>TIME</t>
  </si>
  <si>
    <t>GNSS STATUS</t>
  </si>
  <si>
    <t>ANALOG FUEL</t>
  </si>
  <si>
    <t>DIGITAL FUEL</t>
  </si>
  <si>
    <t>ANALOG COOLANT</t>
  </si>
  <si>
    <t>DIGITAL COOLANT</t>
  </si>
  <si>
    <t>TRACK MAP</t>
  </si>
  <si>
    <t>LAP TIMER</t>
  </si>
  <si>
    <t>ODOMETER</t>
  </si>
  <si>
    <t>COMPASS</t>
  </si>
  <si>
    <t>RANGE</t>
  </si>
  <si>
    <t>TRACTION CIRCLE</t>
  </si>
  <si>
    <t>OIL PSI</t>
  </si>
  <si>
    <t>OIL TEMP</t>
  </si>
  <si>
    <t>?</t>
  </si>
  <si>
    <t>DOOR LOCK</t>
  </si>
  <si>
    <t>DOOR UNLOCK</t>
  </si>
  <si>
    <t>INPUT FROM KEYLESS MODULE</t>
  </si>
  <si>
    <t>INPUT FROM ROTARY SWITCH / RESISTOR LADDER</t>
  </si>
  <si>
    <t>AC COMMAND</t>
  </si>
  <si>
    <t>DASH COMPUTE</t>
  </si>
  <si>
    <t>BIDIR</t>
  </si>
  <si>
    <t>SERIAL</t>
  </si>
  <si>
    <t>CAN BUS H</t>
  </si>
  <si>
    <t>CAN BUS L</t>
  </si>
  <si>
    <t>HIGH SIDE DRIVER</t>
  </si>
  <si>
    <t>FRONTEND</t>
  </si>
  <si>
    <t>H-BRIDGE</t>
  </si>
  <si>
    <t>AC COMPRESSOR</t>
  </si>
  <si>
    <t>LOW SIDE DRIVER</t>
  </si>
  <si>
    <t>BLOWER MOTOR</t>
  </si>
  <si>
    <t>ACCESSORY POWER</t>
  </si>
  <si>
    <t>5V BUCK REGULATOR - POWERS RPI AND VN300</t>
  </si>
  <si>
    <t>INTAKE RUNNER SOL</t>
  </si>
  <si>
    <t>OIL TEMP SENSOR</t>
  </si>
  <si>
    <t>ECM</t>
  </si>
  <si>
    <t>PDM</t>
  </si>
  <si>
    <t>LEFT TURN</t>
  </si>
  <si>
    <t>RIGHT TURN</t>
  </si>
  <si>
    <t>HIGH-SIDE AC PRESSURE FOR DIAG / SAFETY</t>
  </si>
  <si>
    <t>AC DISCHARGE PSI</t>
  </si>
  <si>
    <t>HEADLIGHTS / HIGH</t>
  </si>
  <si>
    <t>HEADLIGHTS / LOW</t>
  </si>
  <si>
    <t>EXTERNAL RELAY</t>
  </si>
  <si>
    <t>LOW RELAY</t>
  </si>
  <si>
    <t>HIGH RELAY</t>
  </si>
  <si>
    <t>BRAKE SWITCH</t>
  </si>
  <si>
    <t>FUEL PUMP RELAY</t>
  </si>
  <si>
    <t>DOOR SENSORS</t>
  </si>
  <si>
    <t>PULLED LOW BY EITHER DOOR SWITCH</t>
  </si>
  <si>
    <t>BODY</t>
  </si>
  <si>
    <t>DOOR LOCKS</t>
  </si>
  <si>
    <t>LOCK ACTUATOR</t>
  </si>
  <si>
    <t>KEYLESS</t>
  </si>
  <si>
    <t>KEYLESS MODULE</t>
  </si>
  <si>
    <t>WINDOWS</t>
  </si>
  <si>
    <t>WINDOW MOTOR</t>
  </si>
  <si>
    <t>HVAC</t>
  </si>
  <si>
    <t>BLOWER DRIVER</t>
  </si>
  <si>
    <t>COMPRESSOR</t>
  </si>
  <si>
    <t>AC SUCTION SENSOR</t>
  </si>
  <si>
    <t>AC DISCHARGE SENSOR</t>
  </si>
  <si>
    <t>BLOWER SWITCH</t>
  </si>
  <si>
    <t>AC SWITCH</t>
  </si>
  <si>
    <t>AMBIENT TEMP SENSOR</t>
  </si>
  <si>
    <t>INSTRUMENTS</t>
  </si>
  <si>
    <t>DASH SCREEN</t>
  </si>
  <si>
    <t>DASH RPI</t>
  </si>
  <si>
    <t>VN300</t>
  </si>
  <si>
    <t>GNSS ANTENNA</t>
  </si>
  <si>
    <t>AUDIO</t>
  </si>
  <si>
    <t>HEAD UNIT</t>
  </si>
  <si>
    <t>DOOR SPEAKER</t>
  </si>
  <si>
    <t>REAR SPEAKER</t>
  </si>
  <si>
    <t>CONTROLS</t>
  </si>
  <si>
    <t>HEADLIGHT SWITCH</t>
  </si>
  <si>
    <t>WHEEL MODULE</t>
  </si>
  <si>
    <t>TURN SWITCH</t>
  </si>
  <si>
    <t>WINDOW SWITCH</t>
  </si>
  <si>
    <t>ACK SWITCH</t>
  </si>
  <si>
    <t>WIPE SWITCH</t>
  </si>
  <si>
    <t>BOOST KNOB</t>
  </si>
  <si>
    <t>TURBO</t>
  </si>
  <si>
    <t>COOLING</t>
  </si>
  <si>
    <t>RADIATOR FAN RELAY</t>
  </si>
  <si>
    <t>RADIATOR FAN</t>
  </si>
  <si>
    <t>FAN RELAY</t>
  </si>
  <si>
    <t>MAP SENSOR</t>
  </si>
  <si>
    <t>STANDALONE BOOST CONTROL MAP IN PDM</t>
  </si>
  <si>
    <t>START SWITCH</t>
  </si>
  <si>
    <t>IGNITION SWITCH</t>
  </si>
  <si>
    <t>STARTING</t>
  </si>
  <si>
    <t>STARTER</t>
  </si>
  <si>
    <t>CHARGING</t>
  </si>
  <si>
    <t>ALTERNATOR</t>
  </si>
  <si>
    <t>HORN SWITCH</t>
  </si>
  <si>
    <t>HORN</t>
  </si>
  <si>
    <t>MENU BUTTON</t>
  </si>
  <si>
    <t>UP BUTTON</t>
  </si>
  <si>
    <t>DOWN BUTTON</t>
  </si>
  <si>
    <t>WIPERS</t>
  </si>
  <si>
    <t>WIPER MOTOR</t>
  </si>
  <si>
    <t>WASHER PUMP</t>
  </si>
  <si>
    <t>WIPER RELAY</t>
  </si>
  <si>
    <t>ECU SERIAL INTERFACE</t>
  </si>
  <si>
    <t>CAN DIAG INTERFACE</t>
  </si>
  <si>
    <t>RPI ETHERNET INTERFACE</t>
  </si>
  <si>
    <t>RPI</t>
  </si>
  <si>
    <t>Do we need this?  What interface for programming STM32?</t>
  </si>
  <si>
    <t>ACCESSORY SWITCH</t>
  </si>
  <si>
    <t>BOX PIN</t>
  </si>
  <si>
    <t>DOOR</t>
  </si>
  <si>
    <t>WINDOW_MUX</t>
  </si>
  <si>
    <t>WINDOW_L_N</t>
  </si>
  <si>
    <t>WINDOW_R_N</t>
  </si>
  <si>
    <t>BLOWER_B_N</t>
  </si>
  <si>
    <t>WINDOW_L_P</t>
  </si>
  <si>
    <t>WINDOW_R_P</t>
  </si>
  <si>
    <t>OAT</t>
  </si>
  <si>
    <t>LOCK</t>
  </si>
  <si>
    <t>UNLOCK</t>
  </si>
  <si>
    <t>AC_COMMAND</t>
  </si>
  <si>
    <t>BLOWER COMMAND</t>
  </si>
  <si>
    <t>BLOWER_COMMAND</t>
  </si>
  <si>
    <t>DASH LCD</t>
  </si>
  <si>
    <t>ACC_COMMAND</t>
  </si>
  <si>
    <t>IGN_COMMAND</t>
  </si>
  <si>
    <t>INTERIOR LIGHT</t>
  </si>
  <si>
    <t>AC_DISCHARGE</t>
  </si>
  <si>
    <t>CAN_H</t>
  </si>
  <si>
    <t>CAN_L</t>
  </si>
  <si>
    <t>WINDOW COMMANDS</t>
  </si>
  <si>
    <t>PULLUP</t>
  </si>
  <si>
    <t>INTERNAL</t>
  </si>
  <si>
    <t>BLOWER MOTOR A</t>
  </si>
  <si>
    <t>BLOWER MOTOR B</t>
  </si>
  <si>
    <t>BLOWER_A_N</t>
  </si>
  <si>
    <t>DASH_RPI_P</t>
  </si>
  <si>
    <t>COMPRESSOR_P</t>
  </si>
  <si>
    <t>TURN_L_P</t>
  </si>
  <si>
    <t>TURN_R_P</t>
  </si>
  <si>
    <t>MARKER_P</t>
  </si>
  <si>
    <t>DASH_LCD_P</t>
  </si>
  <si>
    <t>COURTESY_P</t>
  </si>
  <si>
    <t>COOLING FAN LEFT</t>
  </si>
  <si>
    <t>COOLING FAN RIGHT</t>
  </si>
  <si>
    <t>FAN_L_N</t>
  </si>
  <si>
    <t>FAN_R_N</t>
  </si>
  <si>
    <t>HIGH_BEAM_N</t>
  </si>
  <si>
    <t>ACC_OUT_N</t>
  </si>
  <si>
    <t>IGNITION POWER</t>
  </si>
  <si>
    <t>IGNITION_L</t>
  </si>
  <si>
    <t>BOOST SOLENOID</t>
  </si>
  <si>
    <t>BOOST_L</t>
  </si>
  <si>
    <t>Input bitmask of wcm buttons</t>
  </si>
  <si>
    <t>WCM</t>
  </si>
  <si>
    <t>wcm_buttons</t>
  </si>
  <si>
    <t>wcm_encoder</t>
  </si>
  <si>
    <t>Boost encoder</t>
  </si>
  <si>
    <t>wcm_status</t>
  </si>
  <si>
    <t>WCM status bitmask</t>
  </si>
  <si>
    <t>wcm_counter</t>
  </si>
  <si>
    <t>Counter for wcm message</t>
  </si>
  <si>
    <t>wcm_event_type</t>
  </si>
  <si>
    <t>1=press, 0=release</t>
  </si>
  <si>
    <t>wcm_event_input</t>
  </si>
  <si>
    <t>wcm_event_duration</t>
  </si>
  <si>
    <t>duration of press (only on release event)</t>
  </si>
  <si>
    <t>bitmask of button pressed</t>
  </si>
  <si>
    <t>BRAKE PSI</t>
  </si>
  <si>
    <t>STEERING ANGLE</t>
  </si>
  <si>
    <t>WHEEL SPEEDS</t>
  </si>
  <si>
    <t>FUEL PSI</t>
  </si>
  <si>
    <t>SHOCK POTS</t>
  </si>
  <si>
    <t>FUEL LEVEL SENSOR</t>
  </si>
  <si>
    <t>FUEL_LEVEL</t>
  </si>
  <si>
    <t>LOW_BEAM_N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</si>
</sst>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</xdr:row>
      <xdr:rowOff>47624</xdr:rowOff>
    </xdr:from>
    <xdr:to>
      <xdr:col>21</xdr:col>
      <xdr:colOff>592315</xdr:colOff>
      <xdr:row>41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F4DC1-FBE3-67EB-4361-608160D5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619124"/>
          <a:ext cx="12165190" cy="732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9525</xdr:colOff>
      <xdr:row>3</xdr:row>
      <xdr:rowOff>19050</xdr:rowOff>
    </xdr:from>
    <xdr:to>
      <xdr:col>33</xdr:col>
      <xdr:colOff>371475</xdr:colOff>
      <xdr:row>28</xdr:row>
      <xdr:rowOff>85725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2DCBC831-F4F1-7AE7-6ABE-E730DE0E4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0325" y="590550"/>
          <a:ext cx="6457950" cy="482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4point7.com/products/spartan-3-lite-v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9012-943D-44B2-B19D-09596A461FBF}">
  <dimension ref="A1:O89"/>
  <sheetViews>
    <sheetView topLeftCell="A54" workbookViewId="0">
      <selection activeCell="O80" sqref="O80"/>
    </sheetView>
  </sheetViews>
  <sheetFormatPr defaultRowHeight="15" x14ac:dyDescent="0.25"/>
  <cols>
    <col min="1" max="1" width="17.85546875" customWidth="1"/>
    <col min="2" max="2" width="17.42578125" customWidth="1"/>
    <col min="3" max="3" width="20.5703125" customWidth="1"/>
    <col min="7" max="7" width="10.28515625" customWidth="1"/>
    <col min="8" max="8" width="13.5703125" customWidth="1"/>
    <col min="11" max="12" width="10.7109375" customWidth="1"/>
    <col min="13" max="13" width="20.140625" customWidth="1"/>
    <col min="14" max="14" width="10.42578125" customWidth="1"/>
  </cols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17</v>
      </c>
      <c r="H1" t="s">
        <v>18</v>
      </c>
      <c r="I1" t="s">
        <v>10</v>
      </c>
      <c r="J1" t="s">
        <v>11</v>
      </c>
      <c r="K1" t="s">
        <v>13</v>
      </c>
      <c r="L1" t="s">
        <v>12</v>
      </c>
      <c r="M1" t="s">
        <v>26</v>
      </c>
      <c r="N1" t="s">
        <v>14</v>
      </c>
    </row>
    <row r="2" spans="1:14" x14ac:dyDescent="0.25">
      <c r="A2" t="s">
        <v>325</v>
      </c>
      <c r="B2" t="s">
        <v>345</v>
      </c>
      <c r="C2" t="s">
        <v>346</v>
      </c>
      <c r="M2" t="s">
        <v>311</v>
      </c>
    </row>
    <row r="3" spans="1:14" x14ac:dyDescent="0.25">
      <c r="A3" t="s">
        <v>325</v>
      </c>
      <c r="B3" t="s">
        <v>345</v>
      </c>
      <c r="C3" t="s">
        <v>347</v>
      </c>
      <c r="D3" t="s">
        <v>2</v>
      </c>
      <c r="M3" t="s">
        <v>346</v>
      </c>
    </row>
    <row r="4" spans="1:14" x14ac:dyDescent="0.25">
      <c r="A4" t="s">
        <v>325</v>
      </c>
      <c r="B4" t="s">
        <v>345</v>
      </c>
      <c r="C4" t="s">
        <v>347</v>
      </c>
      <c r="D4" t="s">
        <v>20</v>
      </c>
      <c r="M4" t="s">
        <v>346</v>
      </c>
    </row>
    <row r="5" spans="1:14" x14ac:dyDescent="0.25">
      <c r="A5" t="s">
        <v>325</v>
      </c>
      <c r="B5" t="s">
        <v>345</v>
      </c>
      <c r="C5" t="s">
        <v>348</v>
      </c>
      <c r="D5" t="s">
        <v>2</v>
      </c>
      <c r="M5" t="s">
        <v>346</v>
      </c>
    </row>
    <row r="6" spans="1:14" x14ac:dyDescent="0.25">
      <c r="A6" t="s">
        <v>325</v>
      </c>
      <c r="B6" t="s">
        <v>345</v>
      </c>
      <c r="C6" t="s">
        <v>348</v>
      </c>
      <c r="D6" t="s">
        <v>20</v>
      </c>
      <c r="M6" t="s">
        <v>346</v>
      </c>
    </row>
    <row r="7" spans="1:14" x14ac:dyDescent="0.25">
      <c r="A7" t="s">
        <v>0</v>
      </c>
      <c r="B7" t="s">
        <v>24</v>
      </c>
      <c r="C7" t="s">
        <v>25</v>
      </c>
      <c r="D7" t="s">
        <v>2</v>
      </c>
      <c r="M7" t="s">
        <v>321</v>
      </c>
    </row>
    <row r="8" spans="1:14" x14ac:dyDescent="0.25">
      <c r="A8" t="s">
        <v>0</v>
      </c>
      <c r="B8" t="s">
        <v>24</v>
      </c>
      <c r="C8" t="s">
        <v>25</v>
      </c>
      <c r="D8" t="s">
        <v>20</v>
      </c>
      <c r="M8" t="s">
        <v>321</v>
      </c>
    </row>
    <row r="9" spans="1:14" x14ac:dyDescent="0.25">
      <c r="A9" t="s">
        <v>31</v>
      </c>
      <c r="B9" t="s">
        <v>368</v>
      </c>
      <c r="C9" t="s">
        <v>369</v>
      </c>
      <c r="M9" t="s">
        <v>311</v>
      </c>
    </row>
    <row r="10" spans="1:14" x14ac:dyDescent="0.25">
      <c r="A10" t="s">
        <v>325</v>
      </c>
      <c r="B10" t="s">
        <v>349</v>
      </c>
      <c r="C10" t="s">
        <v>337</v>
      </c>
    </row>
    <row r="11" spans="1:14" x14ac:dyDescent="0.25">
      <c r="A11" t="s">
        <v>325</v>
      </c>
      <c r="B11" t="s">
        <v>349</v>
      </c>
      <c r="C11" t="s">
        <v>338</v>
      </c>
    </row>
    <row r="12" spans="1:14" x14ac:dyDescent="0.25">
      <c r="A12" t="s">
        <v>325</v>
      </c>
      <c r="B12" t="s">
        <v>349</v>
      </c>
      <c r="C12" t="s">
        <v>350</v>
      </c>
      <c r="M12" t="s">
        <v>311</v>
      </c>
    </row>
    <row r="13" spans="1:14" x14ac:dyDescent="0.25">
      <c r="A13" t="s">
        <v>325</v>
      </c>
      <c r="B13" t="s">
        <v>349</v>
      </c>
      <c r="C13" t="s">
        <v>351</v>
      </c>
      <c r="M13" t="s">
        <v>311</v>
      </c>
    </row>
    <row r="14" spans="1:14" x14ac:dyDescent="0.25">
      <c r="A14" t="s">
        <v>325</v>
      </c>
      <c r="B14" t="s">
        <v>349</v>
      </c>
      <c r="C14" t="s">
        <v>352</v>
      </c>
      <c r="D14" t="s">
        <v>2</v>
      </c>
      <c r="M14" t="s">
        <v>351</v>
      </c>
    </row>
    <row r="15" spans="1:14" x14ac:dyDescent="0.25">
      <c r="A15" t="s">
        <v>325</v>
      </c>
      <c r="B15" t="s">
        <v>349</v>
      </c>
      <c r="C15" t="s">
        <v>352</v>
      </c>
      <c r="D15" t="s">
        <v>20</v>
      </c>
      <c r="M15" t="s">
        <v>351</v>
      </c>
    </row>
    <row r="16" spans="1:14" x14ac:dyDescent="0.25">
      <c r="A16" t="s">
        <v>325</v>
      </c>
      <c r="B16" t="s">
        <v>349</v>
      </c>
      <c r="C16" t="s">
        <v>354</v>
      </c>
      <c r="M16" t="s">
        <v>351</v>
      </c>
    </row>
    <row r="17" spans="1:13" x14ac:dyDescent="0.25">
      <c r="A17" t="s">
        <v>325</v>
      </c>
      <c r="B17" t="s">
        <v>349</v>
      </c>
      <c r="C17" t="s">
        <v>355</v>
      </c>
      <c r="M17" t="s">
        <v>351</v>
      </c>
    </row>
    <row r="18" spans="1:13" x14ac:dyDescent="0.25">
      <c r="A18" t="s">
        <v>325</v>
      </c>
      <c r="B18" t="s">
        <v>349</v>
      </c>
      <c r="C18" t="s">
        <v>356</v>
      </c>
      <c r="M18" t="s">
        <v>351</v>
      </c>
    </row>
    <row r="19" spans="1:13" x14ac:dyDescent="0.25">
      <c r="A19" t="s">
        <v>325</v>
      </c>
      <c r="B19" t="s">
        <v>349</v>
      </c>
      <c r="C19" t="s">
        <v>372</v>
      </c>
      <c r="M19" t="s">
        <v>351</v>
      </c>
    </row>
    <row r="20" spans="1:13" x14ac:dyDescent="0.25">
      <c r="A20" t="s">
        <v>325</v>
      </c>
      <c r="B20" t="s">
        <v>349</v>
      </c>
      <c r="C20" t="s">
        <v>373</v>
      </c>
      <c r="M20" t="s">
        <v>351</v>
      </c>
    </row>
    <row r="21" spans="1:13" x14ac:dyDescent="0.25">
      <c r="A21" t="s">
        <v>325</v>
      </c>
      <c r="B21" t="s">
        <v>349</v>
      </c>
      <c r="C21" t="s">
        <v>374</v>
      </c>
      <c r="M21" t="s">
        <v>351</v>
      </c>
    </row>
    <row r="22" spans="1:13" x14ac:dyDescent="0.25">
      <c r="A22" t="s">
        <v>325</v>
      </c>
      <c r="B22" t="s">
        <v>349</v>
      </c>
      <c r="C22" t="s">
        <v>353</v>
      </c>
      <c r="D22" t="s">
        <v>2</v>
      </c>
      <c r="M22" t="s">
        <v>311</v>
      </c>
    </row>
    <row r="23" spans="1:13" x14ac:dyDescent="0.25">
      <c r="A23" t="s">
        <v>325</v>
      </c>
      <c r="B23" t="s">
        <v>349</v>
      </c>
      <c r="C23" t="s">
        <v>353</v>
      </c>
      <c r="D23" t="s">
        <v>20</v>
      </c>
      <c r="M23" t="s">
        <v>311</v>
      </c>
    </row>
    <row r="24" spans="1:13" x14ac:dyDescent="0.25">
      <c r="A24" t="s">
        <v>325</v>
      </c>
      <c r="B24" t="s">
        <v>349</v>
      </c>
      <c r="C24" t="s">
        <v>364</v>
      </c>
      <c r="M24" t="s">
        <v>311</v>
      </c>
    </row>
    <row r="25" spans="1:13" x14ac:dyDescent="0.25">
      <c r="A25" t="s">
        <v>325</v>
      </c>
      <c r="B25" t="s">
        <v>349</v>
      </c>
      <c r="C25" t="s">
        <v>365</v>
      </c>
      <c r="M25" t="s">
        <v>311</v>
      </c>
    </row>
    <row r="26" spans="1:13" x14ac:dyDescent="0.25">
      <c r="A26" t="s">
        <v>325</v>
      </c>
      <c r="B26" t="s">
        <v>349</v>
      </c>
      <c r="C26" t="s">
        <v>370</v>
      </c>
      <c r="M26" t="s">
        <v>351</v>
      </c>
    </row>
    <row r="27" spans="1:13" x14ac:dyDescent="0.25">
      <c r="A27" t="s">
        <v>325</v>
      </c>
      <c r="B27" t="s">
        <v>349</v>
      </c>
      <c r="C27" t="s">
        <v>371</v>
      </c>
      <c r="M27" t="s">
        <v>311</v>
      </c>
    </row>
    <row r="28" spans="1:13" x14ac:dyDescent="0.25">
      <c r="A28" t="s">
        <v>31</v>
      </c>
      <c r="B28" t="s">
        <v>358</v>
      </c>
      <c r="C28" t="s">
        <v>359</v>
      </c>
      <c r="D28" t="s">
        <v>2</v>
      </c>
      <c r="M28" t="s">
        <v>311</v>
      </c>
    </row>
    <row r="29" spans="1:13" x14ac:dyDescent="0.25">
      <c r="A29" t="s">
        <v>31</v>
      </c>
      <c r="B29" t="s">
        <v>358</v>
      </c>
      <c r="C29" t="s">
        <v>359</v>
      </c>
      <c r="D29" t="s">
        <v>20</v>
      </c>
      <c r="M29" t="s">
        <v>311</v>
      </c>
    </row>
    <row r="30" spans="1:13" x14ac:dyDescent="0.25">
      <c r="A30" t="s">
        <v>31</v>
      </c>
      <c r="B30" t="s">
        <v>358</v>
      </c>
      <c r="C30" t="s">
        <v>360</v>
      </c>
      <c r="D30" t="s">
        <v>2</v>
      </c>
      <c r="M30" t="s">
        <v>361</v>
      </c>
    </row>
    <row r="31" spans="1:13" x14ac:dyDescent="0.25">
      <c r="A31" t="s">
        <v>31</v>
      </c>
      <c r="B31" t="s">
        <v>358</v>
      </c>
      <c r="C31" t="s">
        <v>360</v>
      </c>
      <c r="D31" t="s">
        <v>20</v>
      </c>
      <c r="M31" t="s">
        <v>361</v>
      </c>
    </row>
    <row r="32" spans="1:13" x14ac:dyDescent="0.25">
      <c r="A32" t="s">
        <v>325</v>
      </c>
      <c r="B32" t="s">
        <v>326</v>
      </c>
      <c r="C32" t="s">
        <v>327</v>
      </c>
      <c r="D32" t="s">
        <v>2</v>
      </c>
      <c r="M32" t="s">
        <v>328</v>
      </c>
    </row>
    <row r="33" spans="1:15" x14ac:dyDescent="0.25">
      <c r="A33" t="s">
        <v>325</v>
      </c>
      <c r="B33" t="s">
        <v>326</v>
      </c>
      <c r="C33" t="s">
        <v>327</v>
      </c>
      <c r="D33" t="s">
        <v>20</v>
      </c>
      <c r="M33" t="s">
        <v>328</v>
      </c>
    </row>
    <row r="34" spans="1:15" x14ac:dyDescent="0.25">
      <c r="A34" t="s">
        <v>325</v>
      </c>
      <c r="B34" t="s">
        <v>326</v>
      </c>
      <c r="C34" t="s">
        <v>329</v>
      </c>
    </row>
    <row r="35" spans="1:15" x14ac:dyDescent="0.25">
      <c r="A35" t="s">
        <v>31</v>
      </c>
      <c r="B35" t="s">
        <v>32</v>
      </c>
      <c r="C35" t="s">
        <v>33</v>
      </c>
      <c r="D35">
        <v>1</v>
      </c>
      <c r="E35" t="s">
        <v>108</v>
      </c>
      <c r="F35" t="s">
        <v>108</v>
      </c>
      <c r="M35" t="s">
        <v>310</v>
      </c>
      <c r="O35" s="1" t="s">
        <v>106</v>
      </c>
    </row>
    <row r="36" spans="1:15" x14ac:dyDescent="0.25">
      <c r="A36" t="s">
        <v>31</v>
      </c>
      <c r="B36" t="s">
        <v>32</v>
      </c>
      <c r="C36" t="s">
        <v>33</v>
      </c>
      <c r="D36">
        <v>2</v>
      </c>
      <c r="E36" t="s">
        <v>108</v>
      </c>
      <c r="F36" t="s">
        <v>108</v>
      </c>
      <c r="M36" t="s">
        <v>310</v>
      </c>
    </row>
    <row r="37" spans="1:15" x14ac:dyDescent="0.25">
      <c r="A37" t="s">
        <v>31</v>
      </c>
      <c r="B37" t="s">
        <v>32</v>
      </c>
      <c r="C37" t="s">
        <v>33</v>
      </c>
      <c r="D37">
        <v>3</v>
      </c>
      <c r="E37" t="s">
        <v>108</v>
      </c>
      <c r="F37" t="s">
        <v>108</v>
      </c>
      <c r="M37" t="s">
        <v>310</v>
      </c>
    </row>
    <row r="38" spans="1:15" x14ac:dyDescent="0.25">
      <c r="A38" t="s">
        <v>31</v>
      </c>
      <c r="B38" t="s">
        <v>32</v>
      </c>
      <c r="C38" t="s">
        <v>33</v>
      </c>
      <c r="D38">
        <v>4</v>
      </c>
      <c r="E38" t="s">
        <v>108</v>
      </c>
      <c r="F38" t="s">
        <v>108</v>
      </c>
      <c r="M38" t="s">
        <v>310</v>
      </c>
    </row>
    <row r="39" spans="1:15" x14ac:dyDescent="0.25">
      <c r="A39" t="s">
        <v>31</v>
      </c>
      <c r="B39" t="s">
        <v>32</v>
      </c>
      <c r="C39" t="s">
        <v>39</v>
      </c>
      <c r="E39" t="s">
        <v>109</v>
      </c>
      <c r="F39" t="s">
        <v>108</v>
      </c>
      <c r="M39" t="s">
        <v>310</v>
      </c>
    </row>
    <row r="40" spans="1:15" x14ac:dyDescent="0.25">
      <c r="A40" t="s">
        <v>31</v>
      </c>
      <c r="B40" t="s">
        <v>32</v>
      </c>
      <c r="C40" t="s">
        <v>308</v>
      </c>
      <c r="E40" t="s">
        <v>108</v>
      </c>
      <c r="F40" t="s">
        <v>108</v>
      </c>
      <c r="M40" t="s">
        <v>310</v>
      </c>
    </row>
    <row r="41" spans="1:15" x14ac:dyDescent="0.25">
      <c r="A41" t="s">
        <v>0</v>
      </c>
      <c r="B41" t="s">
        <v>1</v>
      </c>
      <c r="C41" t="s">
        <v>3</v>
      </c>
      <c r="D41" t="s">
        <v>2</v>
      </c>
      <c r="M41" t="s">
        <v>319</v>
      </c>
    </row>
    <row r="42" spans="1:15" x14ac:dyDescent="0.25">
      <c r="A42" t="s">
        <v>0</v>
      </c>
      <c r="B42" t="s">
        <v>1</v>
      </c>
      <c r="C42" t="s">
        <v>15</v>
      </c>
      <c r="D42" t="s">
        <v>2</v>
      </c>
      <c r="M42" t="s">
        <v>320</v>
      </c>
    </row>
    <row r="43" spans="1:15" x14ac:dyDescent="0.25">
      <c r="A43" t="s">
        <v>0</v>
      </c>
      <c r="B43" t="s">
        <v>1</v>
      </c>
      <c r="C43" t="s">
        <v>16</v>
      </c>
      <c r="D43" t="s">
        <v>20</v>
      </c>
      <c r="M43" t="s">
        <v>319</v>
      </c>
    </row>
    <row r="44" spans="1:15" x14ac:dyDescent="0.25">
      <c r="A44" t="s">
        <v>0</v>
      </c>
      <c r="B44" t="s">
        <v>1</v>
      </c>
      <c r="C44" t="s">
        <v>15</v>
      </c>
      <c r="D44" t="s">
        <v>20</v>
      </c>
      <c r="M44" t="s">
        <v>320</v>
      </c>
    </row>
    <row r="45" spans="1:15" x14ac:dyDescent="0.25">
      <c r="A45" t="s">
        <v>0</v>
      </c>
      <c r="B45" t="s">
        <v>1</v>
      </c>
      <c r="C45" t="s">
        <v>319</v>
      </c>
      <c r="M45" t="s">
        <v>311</v>
      </c>
    </row>
    <row r="46" spans="1:15" x14ac:dyDescent="0.25">
      <c r="A46" t="s">
        <v>0</v>
      </c>
      <c r="B46" t="s">
        <v>1</v>
      </c>
      <c r="C46" t="s">
        <v>320</v>
      </c>
      <c r="M46" t="s">
        <v>311</v>
      </c>
    </row>
    <row r="47" spans="1:15" x14ac:dyDescent="0.25">
      <c r="A47" t="s">
        <v>325</v>
      </c>
      <c r="B47" t="s">
        <v>332</v>
      </c>
      <c r="C47" t="s">
        <v>305</v>
      </c>
    </row>
    <row r="48" spans="1:15" x14ac:dyDescent="0.25">
      <c r="A48" t="s">
        <v>325</v>
      </c>
      <c r="B48" t="s">
        <v>332</v>
      </c>
      <c r="C48" t="s">
        <v>333</v>
      </c>
    </row>
    <row r="49" spans="1:13" x14ac:dyDescent="0.25">
      <c r="A49" t="s">
        <v>325</v>
      </c>
      <c r="B49" t="s">
        <v>332</v>
      </c>
      <c r="C49" t="s">
        <v>334</v>
      </c>
    </row>
    <row r="50" spans="1:13" x14ac:dyDescent="0.25">
      <c r="A50" t="s">
        <v>325</v>
      </c>
      <c r="B50" t="s">
        <v>332</v>
      </c>
      <c r="C50" t="s">
        <v>335</v>
      </c>
    </row>
    <row r="51" spans="1:13" x14ac:dyDescent="0.25">
      <c r="A51" t="s">
        <v>325</v>
      </c>
      <c r="B51" t="s">
        <v>332</v>
      </c>
      <c r="C51" t="s">
        <v>336</v>
      </c>
    </row>
    <row r="52" spans="1:13" x14ac:dyDescent="0.25">
      <c r="A52" t="s">
        <v>325</v>
      </c>
      <c r="B52" t="s">
        <v>332</v>
      </c>
      <c r="C52" t="s">
        <v>339</v>
      </c>
    </row>
    <row r="53" spans="1:13" x14ac:dyDescent="0.25">
      <c r="A53" t="s">
        <v>31</v>
      </c>
      <c r="B53" t="s">
        <v>34</v>
      </c>
      <c r="C53" t="s">
        <v>36</v>
      </c>
      <c r="E53" t="s">
        <v>108</v>
      </c>
      <c r="F53" t="s">
        <v>108</v>
      </c>
      <c r="M53" t="s">
        <v>310</v>
      </c>
    </row>
    <row r="54" spans="1:13" x14ac:dyDescent="0.25">
      <c r="A54" t="s">
        <v>31</v>
      </c>
      <c r="B54" t="s">
        <v>34</v>
      </c>
      <c r="C54" t="s">
        <v>35</v>
      </c>
      <c r="D54">
        <v>1</v>
      </c>
      <c r="E54" t="s">
        <v>108</v>
      </c>
      <c r="F54" t="s">
        <v>108</v>
      </c>
      <c r="M54" t="s">
        <v>310</v>
      </c>
    </row>
    <row r="55" spans="1:13" x14ac:dyDescent="0.25">
      <c r="A55" t="s">
        <v>31</v>
      </c>
      <c r="B55" t="s">
        <v>34</v>
      </c>
      <c r="C55" t="s">
        <v>35</v>
      </c>
      <c r="D55">
        <v>2</v>
      </c>
      <c r="E55" t="s">
        <v>108</v>
      </c>
      <c r="F55" t="s">
        <v>108</v>
      </c>
      <c r="M55" t="s">
        <v>310</v>
      </c>
    </row>
    <row r="56" spans="1:13" x14ac:dyDescent="0.25">
      <c r="A56" t="s">
        <v>31</v>
      </c>
      <c r="B56" t="s">
        <v>34</v>
      </c>
      <c r="C56" t="s">
        <v>35</v>
      </c>
      <c r="D56">
        <v>3</v>
      </c>
      <c r="E56" t="s">
        <v>108</v>
      </c>
      <c r="F56" t="s">
        <v>108</v>
      </c>
      <c r="M56" t="s">
        <v>310</v>
      </c>
    </row>
    <row r="57" spans="1:13" x14ac:dyDescent="0.25">
      <c r="A57" t="s">
        <v>31</v>
      </c>
      <c r="B57" t="s">
        <v>34</v>
      </c>
      <c r="C57" t="s">
        <v>35</v>
      </c>
      <c r="D57">
        <v>4</v>
      </c>
      <c r="E57" t="s">
        <v>108</v>
      </c>
      <c r="F57" t="s">
        <v>108</v>
      </c>
      <c r="M57" t="s">
        <v>310</v>
      </c>
    </row>
    <row r="58" spans="1:13" x14ac:dyDescent="0.25">
      <c r="A58" t="s">
        <v>325</v>
      </c>
      <c r="B58" t="s">
        <v>340</v>
      </c>
      <c r="C58" t="s">
        <v>341</v>
      </c>
      <c r="M58" t="s">
        <v>311</v>
      </c>
    </row>
    <row r="59" spans="1:13" x14ac:dyDescent="0.25">
      <c r="A59" t="s">
        <v>325</v>
      </c>
      <c r="B59" t="s">
        <v>340</v>
      </c>
      <c r="C59" t="s">
        <v>342</v>
      </c>
      <c r="M59" t="s">
        <v>311</v>
      </c>
    </row>
    <row r="60" spans="1:13" x14ac:dyDescent="0.25">
      <c r="A60" t="s">
        <v>325</v>
      </c>
      <c r="B60" t="s">
        <v>340</v>
      </c>
      <c r="C60" t="s">
        <v>343</v>
      </c>
      <c r="M60" t="s">
        <v>342</v>
      </c>
    </row>
    <row r="61" spans="1:13" x14ac:dyDescent="0.25">
      <c r="A61" t="s">
        <v>325</v>
      </c>
      <c r="B61" t="s">
        <v>340</v>
      </c>
      <c r="C61" t="s">
        <v>344</v>
      </c>
      <c r="D61" t="s">
        <v>2</v>
      </c>
      <c r="M61" t="s">
        <v>343</v>
      </c>
    </row>
    <row r="62" spans="1:13" x14ac:dyDescent="0.25">
      <c r="A62" t="s">
        <v>325</v>
      </c>
      <c r="B62" t="s">
        <v>340</v>
      </c>
      <c r="C62" t="s">
        <v>344</v>
      </c>
      <c r="D62" t="s">
        <v>20</v>
      </c>
      <c r="M62" t="s">
        <v>343</v>
      </c>
    </row>
    <row r="63" spans="1:13" x14ac:dyDescent="0.25">
      <c r="A63" t="s">
        <v>0</v>
      </c>
      <c r="B63" t="s">
        <v>19</v>
      </c>
      <c r="C63" t="s">
        <v>22</v>
      </c>
      <c r="D63" t="s">
        <v>2</v>
      </c>
      <c r="M63" t="s">
        <v>311</v>
      </c>
    </row>
    <row r="64" spans="1:13" x14ac:dyDescent="0.25">
      <c r="A64" t="s">
        <v>0</v>
      </c>
      <c r="B64" t="s">
        <v>19</v>
      </c>
      <c r="C64" t="s">
        <v>22</v>
      </c>
      <c r="D64" t="s">
        <v>20</v>
      </c>
      <c r="M64" t="s">
        <v>311</v>
      </c>
    </row>
    <row r="65" spans="1:13" x14ac:dyDescent="0.25">
      <c r="A65" t="s">
        <v>0</v>
      </c>
      <c r="B65" t="s">
        <v>19</v>
      </c>
      <c r="C65" t="s">
        <v>21</v>
      </c>
      <c r="D65" t="s">
        <v>2</v>
      </c>
      <c r="M65" t="s">
        <v>311</v>
      </c>
    </row>
    <row r="66" spans="1:13" x14ac:dyDescent="0.25">
      <c r="A66" t="s">
        <v>0</v>
      </c>
      <c r="B66" t="s">
        <v>19</v>
      </c>
      <c r="C66" t="s">
        <v>21</v>
      </c>
      <c r="D66" t="s">
        <v>20</v>
      </c>
      <c r="M66" t="s">
        <v>311</v>
      </c>
    </row>
    <row r="67" spans="1:13" x14ac:dyDescent="0.25">
      <c r="A67" t="s">
        <v>0</v>
      </c>
      <c r="B67" t="s">
        <v>19</v>
      </c>
      <c r="C67" t="s">
        <v>23</v>
      </c>
      <c r="D67" t="s">
        <v>2</v>
      </c>
      <c r="M67" t="s">
        <v>311</v>
      </c>
    </row>
    <row r="68" spans="1:13" x14ac:dyDescent="0.25">
      <c r="A68" t="s">
        <v>0</v>
      </c>
      <c r="B68" t="s">
        <v>19</v>
      </c>
      <c r="C68" t="s">
        <v>23</v>
      </c>
      <c r="D68" t="s">
        <v>20</v>
      </c>
      <c r="M68" t="s">
        <v>311</v>
      </c>
    </row>
    <row r="69" spans="1:13" x14ac:dyDescent="0.25">
      <c r="A69" t="s">
        <v>0</v>
      </c>
      <c r="B69" t="s">
        <v>19</v>
      </c>
      <c r="C69" t="s">
        <v>27</v>
      </c>
      <c r="D69" t="s">
        <v>2</v>
      </c>
      <c r="M69" t="s">
        <v>311</v>
      </c>
    </row>
    <row r="70" spans="1:13" x14ac:dyDescent="0.25">
      <c r="A70" t="s">
        <v>0</v>
      </c>
      <c r="B70" t="s">
        <v>19</v>
      </c>
      <c r="C70" t="s">
        <v>27</v>
      </c>
      <c r="D70" t="s">
        <v>20</v>
      </c>
      <c r="M70" t="s">
        <v>311</v>
      </c>
    </row>
    <row r="71" spans="1:13" x14ac:dyDescent="0.25">
      <c r="A71" t="s">
        <v>31</v>
      </c>
      <c r="B71" t="s">
        <v>37</v>
      </c>
      <c r="C71" t="s">
        <v>38</v>
      </c>
      <c r="E71" t="s">
        <v>108</v>
      </c>
      <c r="F71" t="s">
        <v>108</v>
      </c>
      <c r="M71" t="s">
        <v>310</v>
      </c>
    </row>
    <row r="72" spans="1:13" x14ac:dyDescent="0.25">
      <c r="A72" t="s">
        <v>31</v>
      </c>
      <c r="B72" t="s">
        <v>37</v>
      </c>
      <c r="C72" t="s">
        <v>40</v>
      </c>
      <c r="E72" t="s">
        <v>108</v>
      </c>
      <c r="F72" t="s">
        <v>108</v>
      </c>
      <c r="M72" t="s">
        <v>310</v>
      </c>
    </row>
    <row r="73" spans="1:13" x14ac:dyDescent="0.25">
      <c r="A73" t="s">
        <v>31</v>
      </c>
      <c r="B73" t="s">
        <v>37</v>
      </c>
      <c r="C73" t="s">
        <v>41</v>
      </c>
      <c r="E73" t="s">
        <v>108</v>
      </c>
      <c r="F73" t="s">
        <v>108</v>
      </c>
      <c r="M73" t="s">
        <v>310</v>
      </c>
    </row>
    <row r="74" spans="1:13" x14ac:dyDescent="0.25">
      <c r="A74" t="s">
        <v>31</v>
      </c>
      <c r="B74" t="s">
        <v>37</v>
      </c>
      <c r="C74" t="s">
        <v>42</v>
      </c>
      <c r="E74" t="s">
        <v>108</v>
      </c>
      <c r="F74" t="s">
        <v>108</v>
      </c>
      <c r="G74" t="s">
        <v>107</v>
      </c>
      <c r="M74" t="s">
        <v>310</v>
      </c>
    </row>
    <row r="75" spans="1:13" x14ac:dyDescent="0.25">
      <c r="A75" t="s">
        <v>31</v>
      </c>
      <c r="B75" t="s">
        <v>37</v>
      </c>
      <c r="C75" t="s">
        <v>309</v>
      </c>
      <c r="E75" t="s">
        <v>108</v>
      </c>
      <c r="F75" t="s">
        <v>108</v>
      </c>
      <c r="M75" t="s">
        <v>310</v>
      </c>
    </row>
    <row r="76" spans="1:13" x14ac:dyDescent="0.25">
      <c r="A76" t="s">
        <v>31</v>
      </c>
      <c r="B76" t="s">
        <v>366</v>
      </c>
      <c r="C76" t="s">
        <v>367</v>
      </c>
      <c r="M76" t="s">
        <v>311</v>
      </c>
    </row>
    <row r="77" spans="1:13" x14ac:dyDescent="0.25">
      <c r="A77" t="s">
        <v>31</v>
      </c>
      <c r="B77" t="s">
        <v>357</v>
      </c>
      <c r="C77" t="s">
        <v>99</v>
      </c>
      <c r="M77" t="s">
        <v>311</v>
      </c>
    </row>
    <row r="78" spans="1:13" x14ac:dyDescent="0.25">
      <c r="A78" t="s">
        <v>0</v>
      </c>
      <c r="B78" t="s">
        <v>28</v>
      </c>
      <c r="C78" t="s">
        <v>29</v>
      </c>
      <c r="D78" t="s">
        <v>2</v>
      </c>
      <c r="M78" t="s">
        <v>311</v>
      </c>
    </row>
    <row r="79" spans="1:13" x14ac:dyDescent="0.25">
      <c r="A79" t="s">
        <v>0</v>
      </c>
      <c r="B79" t="s">
        <v>28</v>
      </c>
      <c r="C79" t="s">
        <v>29</v>
      </c>
      <c r="D79" t="s">
        <v>20</v>
      </c>
      <c r="M79" t="s">
        <v>311</v>
      </c>
    </row>
    <row r="80" spans="1:13" x14ac:dyDescent="0.25">
      <c r="A80" t="s">
        <v>0</v>
      </c>
      <c r="B80" t="s">
        <v>28</v>
      </c>
      <c r="C80" t="s">
        <v>30</v>
      </c>
      <c r="D80" t="s">
        <v>2</v>
      </c>
      <c r="M80" t="s">
        <v>311</v>
      </c>
    </row>
    <row r="81" spans="1:14" x14ac:dyDescent="0.25">
      <c r="A81" t="s">
        <v>0</v>
      </c>
      <c r="B81" t="s">
        <v>28</v>
      </c>
      <c r="C81" t="s">
        <v>30</v>
      </c>
      <c r="D81" t="s">
        <v>20</v>
      </c>
      <c r="M81" t="s">
        <v>311</v>
      </c>
    </row>
    <row r="82" spans="1:14" x14ac:dyDescent="0.25">
      <c r="A82" t="s">
        <v>325</v>
      </c>
      <c r="B82" t="s">
        <v>330</v>
      </c>
      <c r="C82" t="s">
        <v>331</v>
      </c>
      <c r="D82" t="s">
        <v>2</v>
      </c>
      <c r="M82" t="s">
        <v>311</v>
      </c>
    </row>
    <row r="83" spans="1:14" x14ac:dyDescent="0.25">
      <c r="A83" t="s">
        <v>325</v>
      </c>
      <c r="B83" t="s">
        <v>330</v>
      </c>
      <c r="C83" t="s">
        <v>331</v>
      </c>
      <c r="D83" t="s">
        <v>20</v>
      </c>
      <c r="M83" t="s">
        <v>311</v>
      </c>
    </row>
    <row r="84" spans="1:14" x14ac:dyDescent="0.25">
      <c r="A84" t="s">
        <v>325</v>
      </c>
      <c r="B84" t="s">
        <v>375</v>
      </c>
      <c r="C84" t="s">
        <v>376</v>
      </c>
      <c r="M84" t="s">
        <v>378</v>
      </c>
    </row>
    <row r="85" spans="1:14" x14ac:dyDescent="0.25">
      <c r="A85" t="s">
        <v>325</v>
      </c>
      <c r="B85" t="s">
        <v>375</v>
      </c>
      <c r="C85" t="s">
        <v>378</v>
      </c>
      <c r="M85" t="s">
        <v>311</v>
      </c>
    </row>
    <row r="86" spans="1:14" x14ac:dyDescent="0.25">
      <c r="A86" t="s">
        <v>325</v>
      </c>
      <c r="B86" t="s">
        <v>375</v>
      </c>
      <c r="C86" t="s">
        <v>377</v>
      </c>
      <c r="M86" t="s">
        <v>311</v>
      </c>
    </row>
    <row r="87" spans="1:14" x14ac:dyDescent="0.25">
      <c r="A87" t="s">
        <v>325</v>
      </c>
      <c r="B87" t="s">
        <v>349</v>
      </c>
      <c r="C87" t="s">
        <v>379</v>
      </c>
      <c r="M87" t="s">
        <v>233</v>
      </c>
    </row>
    <row r="88" spans="1:14" x14ac:dyDescent="0.25">
      <c r="A88" t="s">
        <v>325</v>
      </c>
      <c r="B88" t="s">
        <v>349</v>
      </c>
      <c r="C88" t="s">
        <v>380</v>
      </c>
      <c r="M88" t="s">
        <v>311</v>
      </c>
      <c r="N88" t="s">
        <v>383</v>
      </c>
    </row>
    <row r="89" spans="1:14" x14ac:dyDescent="0.25">
      <c r="A89" t="s">
        <v>325</v>
      </c>
      <c r="B89" t="s">
        <v>349</v>
      </c>
      <c r="C89" t="s">
        <v>381</v>
      </c>
      <c r="M89" t="s">
        <v>382</v>
      </c>
    </row>
  </sheetData>
  <autoFilter ref="A1:N21" xr:uid="{83D09012-943D-44B2-B19D-09596A461FBF}">
    <sortState xmlns:xlrd2="http://schemas.microsoft.com/office/spreadsheetml/2017/richdata2" ref="A2:N86">
      <sortCondition ref="B1:B21"/>
    </sortState>
  </autoFilter>
  <hyperlinks>
    <hyperlink ref="O35" r:id="rId1" display="https://www.14point7.com/products/spartan-3-lite-v2" xr:uid="{A7CD153C-D4C4-4A98-9D8C-74AABC83A9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FB1E-A889-4BA4-8B64-1CB09DD3FDE9}">
  <dimension ref="A1:G36"/>
  <sheetViews>
    <sheetView workbookViewId="0">
      <selection activeCell="E14" sqref="E14"/>
    </sheetView>
  </sheetViews>
  <sheetFormatPr defaultRowHeight="15" x14ac:dyDescent="0.25"/>
  <cols>
    <col min="4" max="4" width="27.140625" customWidth="1"/>
    <col min="7" max="7" width="14.42578125" customWidth="1"/>
  </cols>
  <sheetData>
    <row r="1" spans="1:7" x14ac:dyDescent="0.25">
      <c r="A1" t="s">
        <v>43</v>
      </c>
      <c r="B1" t="s">
        <v>44</v>
      </c>
      <c r="C1" t="s">
        <v>54</v>
      </c>
      <c r="D1" t="s">
        <v>45</v>
      </c>
      <c r="E1" t="s">
        <v>85</v>
      </c>
      <c r="F1" t="s">
        <v>86</v>
      </c>
      <c r="G1" t="s">
        <v>97</v>
      </c>
    </row>
    <row r="2" spans="1:7" x14ac:dyDescent="0.25">
      <c r="A2">
        <v>1</v>
      </c>
      <c r="B2" t="s">
        <v>46</v>
      </c>
      <c r="C2" t="s">
        <v>55</v>
      </c>
      <c r="D2" t="s">
        <v>84</v>
      </c>
    </row>
    <row r="3" spans="1:7" x14ac:dyDescent="0.25">
      <c r="A3">
        <v>2</v>
      </c>
      <c r="B3" t="s">
        <v>47</v>
      </c>
      <c r="C3" t="s">
        <v>56</v>
      </c>
      <c r="D3" t="s">
        <v>83</v>
      </c>
    </row>
    <row r="4" spans="1:7" x14ac:dyDescent="0.25">
      <c r="A4">
        <v>3</v>
      </c>
      <c r="B4" t="s">
        <v>48</v>
      </c>
      <c r="C4" t="s">
        <v>56</v>
      </c>
      <c r="D4" t="s">
        <v>83</v>
      </c>
    </row>
    <row r="5" spans="1:7" x14ac:dyDescent="0.25">
      <c r="A5">
        <v>4</v>
      </c>
      <c r="B5" t="s">
        <v>49</v>
      </c>
      <c r="C5" t="s">
        <v>57</v>
      </c>
      <c r="D5" t="s">
        <v>92</v>
      </c>
    </row>
    <row r="6" spans="1:7" x14ac:dyDescent="0.25">
      <c r="A6">
        <v>5</v>
      </c>
      <c r="B6" t="s">
        <v>95</v>
      </c>
      <c r="C6" t="s">
        <v>57</v>
      </c>
      <c r="D6" t="s">
        <v>309</v>
      </c>
    </row>
    <row r="7" spans="1:7" x14ac:dyDescent="0.25">
      <c r="A7">
        <v>6</v>
      </c>
      <c r="B7" t="s">
        <v>50</v>
      </c>
      <c r="C7" t="s">
        <v>57</v>
      </c>
      <c r="D7" t="s">
        <v>39</v>
      </c>
    </row>
    <row r="8" spans="1:7" x14ac:dyDescent="0.25">
      <c r="A8">
        <v>7</v>
      </c>
      <c r="B8" t="s">
        <v>51</v>
      </c>
      <c r="C8" t="s">
        <v>58</v>
      </c>
      <c r="D8" t="s">
        <v>96</v>
      </c>
      <c r="G8" t="s">
        <v>98</v>
      </c>
    </row>
    <row r="9" spans="1:7" x14ac:dyDescent="0.25">
      <c r="A9">
        <v>8</v>
      </c>
      <c r="B9" t="s">
        <v>52</v>
      </c>
      <c r="C9" t="s">
        <v>58</v>
      </c>
      <c r="D9" t="s">
        <v>322</v>
      </c>
    </row>
    <row r="10" spans="1:7" x14ac:dyDescent="0.25">
      <c r="A10">
        <v>9</v>
      </c>
      <c r="B10" t="s">
        <v>59</v>
      </c>
      <c r="C10" t="s">
        <v>58</v>
      </c>
      <c r="D10" t="s">
        <v>87</v>
      </c>
    </row>
    <row r="11" spans="1:7" x14ac:dyDescent="0.25">
      <c r="A11">
        <v>10</v>
      </c>
      <c r="B11" t="s">
        <v>60</v>
      </c>
      <c r="C11" t="s">
        <v>58</v>
      </c>
      <c r="D11" t="s">
        <v>88</v>
      </c>
    </row>
    <row r="12" spans="1:7" x14ac:dyDescent="0.25">
      <c r="A12">
        <v>11</v>
      </c>
      <c r="B12" t="s">
        <v>61</v>
      </c>
      <c r="C12" t="s">
        <v>58</v>
      </c>
      <c r="D12" t="s">
        <v>90</v>
      </c>
    </row>
    <row r="13" spans="1:7" x14ac:dyDescent="0.25">
      <c r="A13">
        <v>12</v>
      </c>
      <c r="B13" t="s">
        <v>62</v>
      </c>
      <c r="C13" t="s">
        <v>58</v>
      </c>
      <c r="D13" t="s">
        <v>89</v>
      </c>
    </row>
    <row r="14" spans="1:7" x14ac:dyDescent="0.25">
      <c r="A14">
        <v>13</v>
      </c>
      <c r="B14" t="s">
        <v>63</v>
      </c>
      <c r="C14" t="s">
        <v>56</v>
      </c>
      <c r="D14" t="s">
        <v>102</v>
      </c>
    </row>
    <row r="15" spans="1:7" x14ac:dyDescent="0.25">
      <c r="A15">
        <v>14</v>
      </c>
      <c r="B15" t="s">
        <v>64</v>
      </c>
      <c r="C15" t="s">
        <v>56</v>
      </c>
      <c r="D15" t="s">
        <v>102</v>
      </c>
    </row>
    <row r="16" spans="1:7" x14ac:dyDescent="0.25">
      <c r="A16">
        <v>15</v>
      </c>
      <c r="B16" t="s">
        <v>65</v>
      </c>
      <c r="C16" t="s">
        <v>57</v>
      </c>
      <c r="D16" t="s">
        <v>103</v>
      </c>
    </row>
    <row r="17" spans="1:7" x14ac:dyDescent="0.25">
      <c r="A17">
        <v>16</v>
      </c>
      <c r="B17" t="s">
        <v>66</v>
      </c>
      <c r="C17" t="s">
        <v>58</v>
      </c>
      <c r="D17" t="s">
        <v>99</v>
      </c>
      <c r="G17" t="s">
        <v>98</v>
      </c>
    </row>
    <row r="18" spans="1:7" x14ac:dyDescent="0.25">
      <c r="A18">
        <v>17</v>
      </c>
      <c r="B18" t="s">
        <v>67</v>
      </c>
      <c r="C18" t="s">
        <v>58</v>
      </c>
      <c r="D18" t="s">
        <v>246</v>
      </c>
    </row>
    <row r="19" spans="1:7" x14ac:dyDescent="0.25">
      <c r="A19">
        <v>18</v>
      </c>
      <c r="B19" t="s">
        <v>68</v>
      </c>
      <c r="C19" t="s">
        <v>55</v>
      </c>
    </row>
    <row r="20" spans="1:7" x14ac:dyDescent="0.25">
      <c r="A20">
        <v>19</v>
      </c>
      <c r="B20" t="s">
        <v>69</v>
      </c>
      <c r="C20" t="s">
        <v>56</v>
      </c>
    </row>
    <row r="21" spans="1:7" x14ac:dyDescent="0.25">
      <c r="A21">
        <v>20</v>
      </c>
      <c r="B21" t="s">
        <v>68</v>
      </c>
      <c r="C21" t="s">
        <v>55</v>
      </c>
    </row>
    <row r="22" spans="1:7" x14ac:dyDescent="0.25">
      <c r="A22">
        <v>21</v>
      </c>
      <c r="B22" t="s">
        <v>70</v>
      </c>
      <c r="D22" t="s">
        <v>92</v>
      </c>
    </row>
    <row r="23" spans="1:7" x14ac:dyDescent="0.25">
      <c r="A23">
        <v>22</v>
      </c>
      <c r="B23" t="s">
        <v>71</v>
      </c>
      <c r="C23" t="s">
        <v>55</v>
      </c>
    </row>
    <row r="24" spans="1:7" x14ac:dyDescent="0.25">
      <c r="A24">
        <v>23</v>
      </c>
      <c r="B24" t="s">
        <v>71</v>
      </c>
      <c r="C24" t="s">
        <v>55</v>
      </c>
    </row>
    <row r="25" spans="1:7" x14ac:dyDescent="0.25">
      <c r="A25">
        <v>24</v>
      </c>
      <c r="B25" t="s">
        <v>72</v>
      </c>
      <c r="C25" t="s">
        <v>57</v>
      </c>
      <c r="D25" t="s">
        <v>94</v>
      </c>
    </row>
    <row r="26" spans="1:7" x14ac:dyDescent="0.25">
      <c r="A26">
        <v>25</v>
      </c>
      <c r="B26" t="s">
        <v>73</v>
      </c>
      <c r="C26" t="s">
        <v>57</v>
      </c>
      <c r="D26" t="s">
        <v>104</v>
      </c>
    </row>
    <row r="27" spans="1:7" x14ac:dyDescent="0.25">
      <c r="A27">
        <v>26</v>
      </c>
      <c r="B27" t="s">
        <v>74</v>
      </c>
      <c r="C27" t="s">
        <v>57</v>
      </c>
      <c r="D27" t="s">
        <v>94</v>
      </c>
    </row>
    <row r="28" spans="1:7" x14ac:dyDescent="0.25">
      <c r="A28">
        <v>27</v>
      </c>
      <c r="B28" t="s">
        <v>75</v>
      </c>
      <c r="C28" t="s">
        <v>57</v>
      </c>
      <c r="D28" t="s">
        <v>75</v>
      </c>
    </row>
    <row r="29" spans="1:7" x14ac:dyDescent="0.25">
      <c r="A29">
        <v>28</v>
      </c>
      <c r="B29" t="s">
        <v>76</v>
      </c>
      <c r="C29" t="s">
        <v>55</v>
      </c>
    </row>
    <row r="30" spans="1:7" x14ac:dyDescent="0.25">
      <c r="A30">
        <v>29</v>
      </c>
      <c r="B30" t="s">
        <v>93</v>
      </c>
      <c r="C30" t="s">
        <v>57</v>
      </c>
      <c r="D30" t="s">
        <v>110</v>
      </c>
      <c r="G30" t="s">
        <v>111</v>
      </c>
    </row>
    <row r="31" spans="1:7" x14ac:dyDescent="0.25">
      <c r="A31">
        <v>30</v>
      </c>
      <c r="B31" t="s">
        <v>77</v>
      </c>
      <c r="C31" t="s">
        <v>57</v>
      </c>
      <c r="D31" t="s">
        <v>91</v>
      </c>
    </row>
    <row r="32" spans="1:7" x14ac:dyDescent="0.25">
      <c r="A32">
        <v>31</v>
      </c>
      <c r="B32" t="s">
        <v>78</v>
      </c>
      <c r="C32" t="s">
        <v>57</v>
      </c>
      <c r="D32" t="s">
        <v>91</v>
      </c>
    </row>
    <row r="33" spans="1:7" x14ac:dyDescent="0.25">
      <c r="A33">
        <v>32</v>
      </c>
      <c r="B33" t="s">
        <v>79</v>
      </c>
      <c r="C33" t="s">
        <v>57</v>
      </c>
      <c r="D33" t="s">
        <v>92</v>
      </c>
    </row>
    <row r="34" spans="1:7" x14ac:dyDescent="0.25">
      <c r="A34">
        <v>33</v>
      </c>
      <c r="B34" t="s">
        <v>80</v>
      </c>
      <c r="C34" t="s">
        <v>57</v>
      </c>
      <c r="D34" t="s">
        <v>92</v>
      </c>
    </row>
    <row r="35" spans="1:7" x14ac:dyDescent="0.25">
      <c r="A35">
        <v>34</v>
      </c>
      <c r="B35" t="s">
        <v>81</v>
      </c>
      <c r="C35" t="s">
        <v>57</v>
      </c>
      <c r="D35" t="s">
        <v>100</v>
      </c>
      <c r="G35" t="s">
        <v>101</v>
      </c>
    </row>
    <row r="36" spans="1:7" x14ac:dyDescent="0.25">
      <c r="A36">
        <v>35</v>
      </c>
      <c r="B36" t="s">
        <v>82</v>
      </c>
      <c r="C36" t="s">
        <v>58</v>
      </c>
      <c r="D36" t="s">
        <v>105</v>
      </c>
    </row>
  </sheetData>
  <autoFilter ref="A1:F36" xr:uid="{1ED3FB1E-A889-4BA4-8B64-1CB09DD3FD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71EB-5C1B-4B6B-BB19-94D0D800893B}">
  <dimension ref="A1:G36"/>
  <sheetViews>
    <sheetView tabSelected="1" workbookViewId="0">
      <selection activeCell="E22" sqref="E22"/>
    </sheetView>
  </sheetViews>
  <sheetFormatPr defaultRowHeight="15" x14ac:dyDescent="0.25"/>
  <cols>
    <col min="2" max="2" width="23.7109375" customWidth="1"/>
    <col min="3" max="3" width="18.5703125" customWidth="1"/>
    <col min="4" max="4" width="12" customWidth="1"/>
    <col min="5" max="5" width="19.140625" customWidth="1"/>
    <col min="6" max="6" width="18.140625" customWidth="1"/>
    <col min="7" max="7" width="69.5703125" customWidth="1"/>
    <col min="8" max="8" width="11.42578125" customWidth="1"/>
    <col min="9" max="9" width="9.28515625" customWidth="1"/>
  </cols>
  <sheetData>
    <row r="1" spans="1:7" x14ac:dyDescent="0.25">
      <c r="A1" t="s">
        <v>43</v>
      </c>
      <c r="B1" t="s">
        <v>44</v>
      </c>
      <c r="C1" t="s">
        <v>53</v>
      </c>
      <c r="D1" t="s">
        <v>54</v>
      </c>
      <c r="E1" t="s">
        <v>385</v>
      </c>
      <c r="F1" t="s">
        <v>301</v>
      </c>
      <c r="G1" t="s">
        <v>120</v>
      </c>
    </row>
    <row r="2" spans="1:7" x14ac:dyDescent="0.25">
      <c r="B2" t="s">
        <v>253</v>
      </c>
      <c r="C2" t="s">
        <v>248</v>
      </c>
      <c r="D2" t="s">
        <v>257</v>
      </c>
      <c r="E2" t="s">
        <v>388</v>
      </c>
      <c r="F2" t="s">
        <v>302</v>
      </c>
    </row>
    <row r="3" spans="1:7" x14ac:dyDescent="0.25">
      <c r="B3" t="s">
        <v>254</v>
      </c>
      <c r="C3" t="s">
        <v>248</v>
      </c>
      <c r="D3" t="s">
        <v>257</v>
      </c>
      <c r="E3" t="s">
        <v>391</v>
      </c>
      <c r="F3" t="s">
        <v>302</v>
      </c>
    </row>
    <row r="4" spans="1:7" x14ac:dyDescent="0.25">
      <c r="B4" t="s">
        <v>255</v>
      </c>
      <c r="C4" t="s">
        <v>248</v>
      </c>
      <c r="D4" t="s">
        <v>257</v>
      </c>
      <c r="E4" t="s">
        <v>389</v>
      </c>
      <c r="F4" t="s">
        <v>302</v>
      </c>
    </row>
    <row r="5" spans="1:7" x14ac:dyDescent="0.25">
      <c r="B5" t="s">
        <v>256</v>
      </c>
      <c r="C5" t="s">
        <v>248</v>
      </c>
      <c r="D5" t="s">
        <v>257</v>
      </c>
      <c r="E5" t="s">
        <v>392</v>
      </c>
      <c r="F5" t="s">
        <v>302</v>
      </c>
    </row>
    <row r="6" spans="1:7" x14ac:dyDescent="0.25">
      <c r="B6" t="s">
        <v>295</v>
      </c>
      <c r="C6" t="s">
        <v>248</v>
      </c>
      <c r="D6" t="s">
        <v>257</v>
      </c>
      <c r="E6" t="s">
        <v>412</v>
      </c>
      <c r="F6" t="s">
        <v>300</v>
      </c>
      <c r="G6" t="s">
        <v>307</v>
      </c>
    </row>
    <row r="7" spans="1:7" x14ac:dyDescent="0.25">
      <c r="B7" t="s">
        <v>303</v>
      </c>
      <c r="C7" t="s">
        <v>248</v>
      </c>
      <c r="D7" t="s">
        <v>257</v>
      </c>
      <c r="E7" t="s">
        <v>413</v>
      </c>
      <c r="F7" t="s">
        <v>300</v>
      </c>
    </row>
    <row r="8" spans="1:7" x14ac:dyDescent="0.25">
      <c r="B8" t="s">
        <v>312</v>
      </c>
      <c r="C8" t="s">
        <v>248</v>
      </c>
      <c r="D8" t="s">
        <v>257</v>
      </c>
      <c r="E8" t="s">
        <v>414</v>
      </c>
      <c r="F8" t="s">
        <v>300</v>
      </c>
    </row>
    <row r="9" spans="1:7" x14ac:dyDescent="0.25">
      <c r="B9" t="s">
        <v>313</v>
      </c>
      <c r="C9" t="s">
        <v>248</v>
      </c>
      <c r="D9" t="s">
        <v>257</v>
      </c>
      <c r="E9" t="s">
        <v>415</v>
      </c>
      <c r="F9" t="s">
        <v>300</v>
      </c>
    </row>
    <row r="10" spans="1:7" x14ac:dyDescent="0.25">
      <c r="B10" t="s">
        <v>19</v>
      </c>
      <c r="C10" t="s">
        <v>248</v>
      </c>
      <c r="D10" t="s">
        <v>257</v>
      </c>
      <c r="E10" t="s">
        <v>416</v>
      </c>
      <c r="F10" t="s">
        <v>300</v>
      </c>
    </row>
    <row r="11" spans="1:7" x14ac:dyDescent="0.25">
      <c r="B11" t="s">
        <v>399</v>
      </c>
      <c r="C11" t="s">
        <v>248</v>
      </c>
      <c r="D11" t="s">
        <v>257</v>
      </c>
      <c r="E11" t="s">
        <v>417</v>
      </c>
      <c r="F11" t="s">
        <v>300</v>
      </c>
    </row>
    <row r="12" spans="1:7" x14ac:dyDescent="0.25">
      <c r="B12" t="s">
        <v>402</v>
      </c>
      <c r="C12" t="s">
        <v>248</v>
      </c>
      <c r="D12" t="s">
        <v>249</v>
      </c>
      <c r="E12" t="s">
        <v>418</v>
      </c>
      <c r="F12" t="s">
        <v>300</v>
      </c>
    </row>
    <row r="13" spans="1:7" x14ac:dyDescent="0.25">
      <c r="B13" t="s">
        <v>362</v>
      </c>
      <c r="C13" t="s">
        <v>247</v>
      </c>
      <c r="D13" t="s">
        <v>93</v>
      </c>
      <c r="F13" t="s">
        <v>408</v>
      </c>
      <c r="G13" t="s">
        <v>363</v>
      </c>
    </row>
    <row r="14" spans="1:7" x14ac:dyDescent="0.25">
      <c r="B14" t="s">
        <v>409</v>
      </c>
      <c r="C14" t="s">
        <v>248</v>
      </c>
      <c r="D14" t="s">
        <v>257</v>
      </c>
      <c r="E14" t="s">
        <v>411</v>
      </c>
      <c r="F14" t="s">
        <v>304</v>
      </c>
      <c r="G14" t="s">
        <v>318</v>
      </c>
    </row>
    <row r="15" spans="1:7" x14ac:dyDescent="0.25">
      <c r="B15" t="s">
        <v>410</v>
      </c>
      <c r="C15" t="s">
        <v>248</v>
      </c>
      <c r="D15" t="s">
        <v>257</v>
      </c>
      <c r="E15" t="s">
        <v>390</v>
      </c>
      <c r="F15" t="s">
        <v>304</v>
      </c>
      <c r="G15" t="s">
        <v>318</v>
      </c>
    </row>
    <row r="16" spans="1:7" x14ac:dyDescent="0.25">
      <c r="B16" t="s">
        <v>419</v>
      </c>
      <c r="C16" t="s">
        <v>248</v>
      </c>
      <c r="D16" t="s">
        <v>257</v>
      </c>
      <c r="E16" t="s">
        <v>421</v>
      </c>
      <c r="F16" t="s">
        <v>304</v>
      </c>
      <c r="G16" t="s">
        <v>318</v>
      </c>
    </row>
    <row r="17" spans="2:7" x14ac:dyDescent="0.25">
      <c r="B17" t="s">
        <v>420</v>
      </c>
      <c r="C17" t="s">
        <v>248</v>
      </c>
      <c r="D17" t="s">
        <v>257</v>
      </c>
      <c r="E17" t="s">
        <v>422</v>
      </c>
      <c r="F17" t="s">
        <v>304</v>
      </c>
      <c r="G17" t="s">
        <v>318</v>
      </c>
    </row>
    <row r="18" spans="2:7" x14ac:dyDescent="0.25">
      <c r="B18" t="s">
        <v>316</v>
      </c>
      <c r="C18" t="s">
        <v>248</v>
      </c>
      <c r="D18" t="s">
        <v>257</v>
      </c>
      <c r="E18" t="s">
        <v>423</v>
      </c>
      <c r="F18" t="s">
        <v>304</v>
      </c>
      <c r="G18" t="s">
        <v>318</v>
      </c>
    </row>
    <row r="19" spans="2:7" x14ac:dyDescent="0.25">
      <c r="B19" t="s">
        <v>317</v>
      </c>
      <c r="C19" t="s">
        <v>248</v>
      </c>
      <c r="D19" t="s">
        <v>257</v>
      </c>
      <c r="E19" t="s">
        <v>451</v>
      </c>
      <c r="F19" t="s">
        <v>304</v>
      </c>
      <c r="G19" t="s">
        <v>318</v>
      </c>
    </row>
    <row r="20" spans="2:7" x14ac:dyDescent="0.25">
      <c r="B20" t="s">
        <v>306</v>
      </c>
      <c r="C20" t="s">
        <v>248</v>
      </c>
      <c r="D20" t="s">
        <v>257</v>
      </c>
      <c r="E20" t="s">
        <v>424</v>
      </c>
      <c r="F20" t="s">
        <v>304</v>
      </c>
      <c r="G20" t="s">
        <v>318</v>
      </c>
    </row>
    <row r="21" spans="2:7" x14ac:dyDescent="0.25">
      <c r="B21" t="s">
        <v>425</v>
      </c>
      <c r="C21" t="s">
        <v>248</v>
      </c>
      <c r="D21" t="s">
        <v>257</v>
      </c>
      <c r="E21" t="s">
        <v>426</v>
      </c>
      <c r="F21" t="s">
        <v>304</v>
      </c>
      <c r="G21" t="s">
        <v>318</v>
      </c>
    </row>
    <row r="22" spans="2:7" x14ac:dyDescent="0.25">
      <c r="B22" t="s">
        <v>427</v>
      </c>
      <c r="C22" t="s">
        <v>248</v>
      </c>
      <c r="D22" t="s">
        <v>249</v>
      </c>
      <c r="E22" t="s">
        <v>428</v>
      </c>
      <c r="F22" t="s">
        <v>304</v>
      </c>
      <c r="G22" t="s">
        <v>427</v>
      </c>
    </row>
    <row r="23" spans="2:7" x14ac:dyDescent="0.25">
      <c r="B23" t="s">
        <v>406</v>
      </c>
      <c r="C23" t="s">
        <v>247</v>
      </c>
      <c r="D23" t="s">
        <v>93</v>
      </c>
      <c r="E23" t="s">
        <v>387</v>
      </c>
      <c r="F23" t="s">
        <v>407</v>
      </c>
    </row>
    <row r="24" spans="2:7" x14ac:dyDescent="0.25">
      <c r="B24" t="s">
        <v>294</v>
      </c>
      <c r="C24" t="s">
        <v>247</v>
      </c>
      <c r="D24" t="s">
        <v>93</v>
      </c>
      <c r="E24" t="s">
        <v>396</v>
      </c>
      <c r="F24" t="s">
        <v>407</v>
      </c>
      <c r="G24" t="s">
        <v>293</v>
      </c>
    </row>
    <row r="25" spans="2:7" x14ac:dyDescent="0.25">
      <c r="B25" t="s">
        <v>298</v>
      </c>
      <c r="C25" t="s">
        <v>296</v>
      </c>
      <c r="D25" t="s">
        <v>297</v>
      </c>
      <c r="E25" t="s">
        <v>404</v>
      </c>
    </row>
    <row r="26" spans="2:7" x14ac:dyDescent="0.25">
      <c r="B26" t="s">
        <v>299</v>
      </c>
      <c r="C26" t="s">
        <v>296</v>
      </c>
      <c r="D26" t="s">
        <v>297</v>
      </c>
      <c r="E26" t="s">
        <v>405</v>
      </c>
    </row>
    <row r="27" spans="2:7" x14ac:dyDescent="0.25">
      <c r="B27" t="s">
        <v>251</v>
      </c>
      <c r="C27" t="s">
        <v>247</v>
      </c>
      <c r="D27" t="s">
        <v>93</v>
      </c>
      <c r="E27" t="s">
        <v>393</v>
      </c>
    </row>
    <row r="28" spans="2:7" x14ac:dyDescent="0.25">
      <c r="B28" t="s">
        <v>315</v>
      </c>
      <c r="C28" t="s">
        <v>247</v>
      </c>
      <c r="D28" t="s">
        <v>93</v>
      </c>
      <c r="E28" t="s">
        <v>403</v>
      </c>
      <c r="G28" t="s">
        <v>314</v>
      </c>
    </row>
    <row r="29" spans="2:7" x14ac:dyDescent="0.25">
      <c r="B29" t="s">
        <v>397</v>
      </c>
      <c r="C29" t="s">
        <v>247</v>
      </c>
      <c r="D29" t="s">
        <v>93</v>
      </c>
      <c r="E29" t="s">
        <v>398</v>
      </c>
    </row>
    <row r="30" spans="2:7" x14ac:dyDescent="0.25">
      <c r="B30" t="s">
        <v>290</v>
      </c>
      <c r="C30" t="s">
        <v>247</v>
      </c>
      <c r="D30" t="s">
        <v>257</v>
      </c>
      <c r="E30" t="s">
        <v>394</v>
      </c>
      <c r="G30" t="s">
        <v>292</v>
      </c>
    </row>
    <row r="31" spans="2:7" x14ac:dyDescent="0.25">
      <c r="B31" t="s">
        <v>291</v>
      </c>
      <c r="C31" t="s">
        <v>247</v>
      </c>
      <c r="D31" t="s">
        <v>257</v>
      </c>
      <c r="E31" t="s">
        <v>395</v>
      </c>
      <c r="G31" t="s">
        <v>292</v>
      </c>
    </row>
    <row r="32" spans="2:7" x14ac:dyDescent="0.25">
      <c r="B32" t="s">
        <v>323</v>
      </c>
      <c r="C32" t="s">
        <v>247</v>
      </c>
      <c r="D32" t="s">
        <v>257</v>
      </c>
      <c r="E32" t="s">
        <v>386</v>
      </c>
      <c r="G32" t="s">
        <v>324</v>
      </c>
    </row>
    <row r="33" spans="2:7" x14ac:dyDescent="0.25">
      <c r="B33" t="s">
        <v>384</v>
      </c>
      <c r="C33" t="s">
        <v>247</v>
      </c>
      <c r="D33" t="s">
        <v>257</v>
      </c>
      <c r="E33" t="s">
        <v>400</v>
      </c>
    </row>
    <row r="34" spans="2:7" x14ac:dyDescent="0.25">
      <c r="B34" t="s">
        <v>365</v>
      </c>
      <c r="C34" t="s">
        <v>247</v>
      </c>
      <c r="D34" t="s">
        <v>257</v>
      </c>
      <c r="E34" t="s">
        <v>401</v>
      </c>
    </row>
    <row r="35" spans="2:7" x14ac:dyDescent="0.25">
      <c r="B35" t="s">
        <v>250</v>
      </c>
      <c r="C35" t="s">
        <v>248</v>
      </c>
      <c r="D35" t="s">
        <v>249</v>
      </c>
      <c r="E35" t="s">
        <v>369</v>
      </c>
      <c r="G35" t="s">
        <v>252</v>
      </c>
    </row>
    <row r="36" spans="2:7" x14ac:dyDescent="0.25">
      <c r="B36" t="s">
        <v>449</v>
      </c>
      <c r="C36" t="s">
        <v>247</v>
      </c>
      <c r="D36" t="s">
        <v>93</v>
      </c>
      <c r="E36" t="s">
        <v>450</v>
      </c>
    </row>
  </sheetData>
  <autoFilter ref="B1:G1" xr:uid="{383E71EB-5C1B-4B6B-BB19-94D0D800893B}">
    <sortState xmlns:xlrd2="http://schemas.microsoft.com/office/spreadsheetml/2017/richdata2" ref="B2:G36">
      <sortCondition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88B0-9803-4A76-AAA0-144040A08579}">
  <dimension ref="B1:B8"/>
  <sheetViews>
    <sheetView workbookViewId="0">
      <selection activeCell="B9" sqref="B9"/>
    </sheetView>
  </sheetViews>
  <sheetFormatPr defaultRowHeight="15" x14ac:dyDescent="0.25"/>
  <sheetData>
    <row r="1" spans="2:2" x14ac:dyDescent="0.25">
      <c r="B1" t="s">
        <v>258</v>
      </c>
    </row>
    <row r="2" spans="2:2" x14ac:dyDescent="0.25">
      <c r="B2" t="s">
        <v>259</v>
      </c>
    </row>
    <row r="3" spans="2:2" x14ac:dyDescent="0.25">
      <c r="B3" t="s">
        <v>260</v>
      </c>
    </row>
    <row r="4" spans="2:2" x14ac:dyDescent="0.25">
      <c r="B4" t="s">
        <v>261</v>
      </c>
    </row>
    <row r="5" spans="2:2" x14ac:dyDescent="0.25">
      <c r="B5" t="s">
        <v>262</v>
      </c>
    </row>
    <row r="6" spans="2:2" x14ac:dyDescent="0.25">
      <c r="B6" t="s">
        <v>263</v>
      </c>
    </row>
    <row r="7" spans="2:2" x14ac:dyDescent="0.25">
      <c r="B7" t="s">
        <v>264</v>
      </c>
    </row>
    <row r="8" spans="2:2" x14ac:dyDescent="0.25">
      <c r="B8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3E11-ADE5-4CEE-88E8-3E3935394769}">
  <dimension ref="A1:D22"/>
  <sheetViews>
    <sheetView workbookViewId="0">
      <selection activeCell="A23" sqref="A23"/>
    </sheetView>
  </sheetViews>
  <sheetFormatPr defaultRowHeight="15" x14ac:dyDescent="0.25"/>
  <cols>
    <col min="1" max="1" width="27.85546875" customWidth="1"/>
  </cols>
  <sheetData>
    <row r="1" spans="1:4" x14ac:dyDescent="0.25">
      <c r="A1" t="s">
        <v>266</v>
      </c>
      <c r="B1" t="s">
        <v>267</v>
      </c>
      <c r="C1" t="s">
        <v>268</v>
      </c>
      <c r="D1" t="s">
        <v>269</v>
      </c>
    </row>
    <row r="2" spans="1:4" x14ac:dyDescent="0.25">
      <c r="A2" t="s">
        <v>270</v>
      </c>
      <c r="C2" t="s">
        <v>125</v>
      </c>
    </row>
    <row r="3" spans="1:4" x14ac:dyDescent="0.25">
      <c r="A3" t="s">
        <v>271</v>
      </c>
    </row>
    <row r="4" spans="1:4" x14ac:dyDescent="0.25">
      <c r="A4" t="s">
        <v>272</v>
      </c>
      <c r="C4" t="s">
        <v>125</v>
      </c>
    </row>
    <row r="5" spans="1:4" x14ac:dyDescent="0.25">
      <c r="A5" t="s">
        <v>273</v>
      </c>
      <c r="B5" t="s">
        <v>125</v>
      </c>
    </row>
    <row r="6" spans="1:4" x14ac:dyDescent="0.25">
      <c r="A6" t="s">
        <v>274</v>
      </c>
      <c r="C6" t="s">
        <v>125</v>
      </c>
    </row>
    <row r="7" spans="1:4" x14ac:dyDescent="0.25">
      <c r="A7" t="s">
        <v>251</v>
      </c>
    </row>
    <row r="8" spans="1:4" x14ac:dyDescent="0.25">
      <c r="A8" t="s">
        <v>275</v>
      </c>
      <c r="B8" t="s">
        <v>125</v>
      </c>
      <c r="C8" t="s">
        <v>125</v>
      </c>
    </row>
    <row r="9" spans="1:4" x14ac:dyDescent="0.25">
      <c r="A9" t="s">
        <v>276</v>
      </c>
    </row>
    <row r="10" spans="1:4" x14ac:dyDescent="0.25">
      <c r="A10" t="s">
        <v>277</v>
      </c>
      <c r="B10" t="s">
        <v>125</v>
      </c>
    </row>
    <row r="11" spans="1:4" x14ac:dyDescent="0.25">
      <c r="A11" t="s">
        <v>278</v>
      </c>
      <c r="C11" t="s">
        <v>125</v>
      </c>
    </row>
    <row r="12" spans="1:4" x14ac:dyDescent="0.25">
      <c r="A12" t="s">
        <v>279</v>
      </c>
      <c r="B12" t="s">
        <v>125</v>
      </c>
    </row>
    <row r="13" spans="1:4" x14ac:dyDescent="0.25">
      <c r="A13" t="s">
        <v>280</v>
      </c>
      <c r="C13" t="s">
        <v>125</v>
      </c>
    </row>
    <row r="14" spans="1:4" x14ac:dyDescent="0.25">
      <c r="A14" t="s">
        <v>281</v>
      </c>
      <c r="C14" t="s">
        <v>125</v>
      </c>
    </row>
    <row r="15" spans="1:4" x14ac:dyDescent="0.25">
      <c r="A15" t="s">
        <v>282</v>
      </c>
      <c r="C15" t="s">
        <v>125</v>
      </c>
    </row>
    <row r="16" spans="1:4" x14ac:dyDescent="0.25">
      <c r="A16" t="s">
        <v>283</v>
      </c>
      <c r="B16" t="s">
        <v>125</v>
      </c>
    </row>
    <row r="17" spans="1:3" x14ac:dyDescent="0.25">
      <c r="A17" t="s">
        <v>284</v>
      </c>
      <c r="B17" t="s">
        <v>125</v>
      </c>
    </row>
    <row r="18" spans="1:3" x14ac:dyDescent="0.25">
      <c r="A18" t="s">
        <v>285</v>
      </c>
      <c r="B18" t="s">
        <v>125</v>
      </c>
    </row>
    <row r="19" spans="1:3" x14ac:dyDescent="0.25">
      <c r="A19" t="s">
        <v>264</v>
      </c>
      <c r="B19" t="s">
        <v>125</v>
      </c>
      <c r="C19" t="s">
        <v>125</v>
      </c>
    </row>
    <row r="20" spans="1:3" x14ac:dyDescent="0.25">
      <c r="A20" t="s">
        <v>286</v>
      </c>
      <c r="C20" t="s">
        <v>125</v>
      </c>
    </row>
    <row r="21" spans="1:3" x14ac:dyDescent="0.25">
      <c r="A21" t="s">
        <v>287</v>
      </c>
      <c r="B21" t="s">
        <v>289</v>
      </c>
      <c r="C21" t="s">
        <v>125</v>
      </c>
    </row>
    <row r="22" spans="1:3" x14ac:dyDescent="0.25">
      <c r="A22" t="s">
        <v>288</v>
      </c>
      <c r="C2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1BC0-26EE-4E5C-AAEB-354198D4822F}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444</v>
      </c>
    </row>
    <row r="2" spans="1:1" x14ac:dyDescent="0.25">
      <c r="A2" t="s">
        <v>445</v>
      </c>
    </row>
    <row r="3" spans="1:1" x14ac:dyDescent="0.25">
      <c r="A3" t="s">
        <v>446</v>
      </c>
    </row>
    <row r="4" spans="1:1" x14ac:dyDescent="0.25">
      <c r="A4" t="s">
        <v>447</v>
      </c>
    </row>
    <row r="5" spans="1:1" x14ac:dyDescent="0.25">
      <c r="A5" t="s">
        <v>287</v>
      </c>
    </row>
    <row r="6" spans="1:1" x14ac:dyDescent="0.25">
      <c r="A6" t="s">
        <v>288</v>
      </c>
    </row>
    <row r="7" spans="1:1" x14ac:dyDescent="0.25">
      <c r="A7" t="s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82DC-E3C4-4B6B-BFA2-2AD0A54B30D2}">
  <dimension ref="A1:T57"/>
  <sheetViews>
    <sheetView topLeftCell="A25" workbookViewId="0">
      <selection activeCell="N58" sqref="N58"/>
    </sheetView>
  </sheetViews>
  <sheetFormatPr defaultRowHeight="15" x14ac:dyDescent="0.25"/>
  <cols>
    <col min="1" max="1" width="16.28515625" customWidth="1"/>
    <col min="2" max="2" width="17" customWidth="1"/>
    <col min="3" max="3" width="61.85546875" customWidth="1"/>
    <col min="4" max="4" width="14.28515625" customWidth="1"/>
    <col min="15" max="16" width="11.28515625" customWidth="1"/>
  </cols>
  <sheetData>
    <row r="1" spans="1:20" x14ac:dyDescent="0.25">
      <c r="A1" t="s">
        <v>112</v>
      </c>
      <c r="B1" t="s">
        <v>113</v>
      </c>
      <c r="C1" t="s">
        <v>120</v>
      </c>
      <c r="D1" t="s">
        <v>115</v>
      </c>
      <c r="E1" t="s">
        <v>114</v>
      </c>
      <c r="F1" t="s">
        <v>116</v>
      </c>
      <c r="G1" t="s">
        <v>117</v>
      </c>
      <c r="H1" t="s">
        <v>7</v>
      </c>
      <c r="I1" t="s">
        <v>117</v>
      </c>
      <c r="J1" t="s">
        <v>118</v>
      </c>
      <c r="K1" t="s">
        <v>119</v>
      </c>
      <c r="L1" t="s">
        <v>121</v>
      </c>
      <c r="M1" t="s">
        <v>122</v>
      </c>
      <c r="N1" t="s">
        <v>123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</row>
    <row r="2" spans="1:20" x14ac:dyDescent="0.25">
      <c r="A2" t="s">
        <v>237</v>
      </c>
      <c r="C2" t="s">
        <v>126</v>
      </c>
      <c r="D2" t="s">
        <v>127</v>
      </c>
      <c r="E2" t="s">
        <v>233</v>
      </c>
      <c r="F2">
        <v>1520</v>
      </c>
      <c r="G2">
        <v>0</v>
      </c>
      <c r="H2">
        <f>F2+G2</f>
        <v>1520</v>
      </c>
      <c r="I2">
        <v>0</v>
      </c>
      <c r="J2">
        <v>2</v>
      </c>
      <c r="L2">
        <v>1</v>
      </c>
      <c r="M2">
        <v>1</v>
      </c>
      <c r="N2">
        <v>0</v>
      </c>
    </row>
    <row r="3" spans="1:20" x14ac:dyDescent="0.25">
      <c r="A3" t="s">
        <v>187</v>
      </c>
      <c r="C3" t="s">
        <v>128</v>
      </c>
      <c r="D3" t="s">
        <v>129</v>
      </c>
      <c r="E3" t="s">
        <v>233</v>
      </c>
      <c r="F3">
        <v>1520</v>
      </c>
      <c r="G3">
        <v>0</v>
      </c>
      <c r="H3">
        <f t="shared" ref="H3:H38" si="0">F3+G3</f>
        <v>1520</v>
      </c>
      <c r="I3">
        <v>2</v>
      </c>
      <c r="J3">
        <v>2</v>
      </c>
      <c r="L3">
        <v>1</v>
      </c>
      <c r="M3">
        <v>1000</v>
      </c>
      <c r="N3">
        <v>0</v>
      </c>
    </row>
    <row r="4" spans="1:20" x14ac:dyDescent="0.25">
      <c r="A4" t="s">
        <v>188</v>
      </c>
      <c r="C4" t="s">
        <v>130</v>
      </c>
      <c r="D4" t="s">
        <v>129</v>
      </c>
      <c r="E4" t="s">
        <v>233</v>
      </c>
      <c r="F4">
        <v>1520</v>
      </c>
      <c r="G4">
        <v>0</v>
      </c>
      <c r="H4">
        <f t="shared" si="0"/>
        <v>1520</v>
      </c>
      <c r="I4">
        <v>4</v>
      </c>
      <c r="J4">
        <v>2</v>
      </c>
      <c r="L4">
        <v>1</v>
      </c>
      <c r="M4">
        <v>1000</v>
      </c>
      <c r="N4">
        <v>0</v>
      </c>
    </row>
    <row r="5" spans="1:20" x14ac:dyDescent="0.25">
      <c r="A5" t="s">
        <v>189</v>
      </c>
      <c r="C5" t="s">
        <v>131</v>
      </c>
      <c r="D5" t="s">
        <v>132</v>
      </c>
      <c r="E5" t="s">
        <v>233</v>
      </c>
      <c r="F5">
        <v>1520</v>
      </c>
      <c r="G5">
        <v>0</v>
      </c>
      <c r="H5">
        <f t="shared" si="0"/>
        <v>1520</v>
      </c>
      <c r="I5">
        <v>6</v>
      </c>
      <c r="J5">
        <v>2</v>
      </c>
      <c r="L5">
        <v>1</v>
      </c>
      <c r="M5">
        <v>1</v>
      </c>
      <c r="N5">
        <v>0</v>
      </c>
      <c r="O5">
        <v>0</v>
      </c>
      <c r="P5">
        <v>10000</v>
      </c>
      <c r="R5">
        <v>6900</v>
      </c>
      <c r="T5">
        <v>7200</v>
      </c>
    </row>
    <row r="6" spans="1:20" x14ac:dyDescent="0.25">
      <c r="A6" t="s">
        <v>190</v>
      </c>
      <c r="C6" t="s">
        <v>133</v>
      </c>
      <c r="D6" t="s">
        <v>134</v>
      </c>
      <c r="E6" t="s">
        <v>233</v>
      </c>
      <c r="F6">
        <v>1520</v>
      </c>
      <c r="G6">
        <v>1</v>
      </c>
      <c r="H6">
        <f t="shared" si="0"/>
        <v>1521</v>
      </c>
      <c r="I6">
        <v>0</v>
      </c>
      <c r="J6">
        <v>2</v>
      </c>
      <c r="K6" t="s">
        <v>125</v>
      </c>
      <c r="L6">
        <v>1</v>
      </c>
      <c r="M6">
        <v>10</v>
      </c>
      <c r="N6">
        <v>0</v>
      </c>
      <c r="O6">
        <v>-30</v>
      </c>
      <c r="P6">
        <v>50</v>
      </c>
    </row>
    <row r="7" spans="1:20" x14ac:dyDescent="0.25">
      <c r="A7" t="s">
        <v>191</v>
      </c>
      <c r="C7" t="s">
        <v>135</v>
      </c>
      <c r="D7" t="s">
        <v>124</v>
      </c>
      <c r="E7" t="s">
        <v>233</v>
      </c>
      <c r="F7">
        <v>1520</v>
      </c>
      <c r="G7">
        <v>1</v>
      </c>
      <c r="H7">
        <f t="shared" si="0"/>
        <v>1521</v>
      </c>
      <c r="I7">
        <v>2</v>
      </c>
      <c r="J7">
        <v>1</v>
      </c>
      <c r="L7">
        <v>1</v>
      </c>
      <c r="M7">
        <v>1</v>
      </c>
      <c r="N7">
        <v>0</v>
      </c>
    </row>
    <row r="8" spans="1:20" x14ac:dyDescent="0.25">
      <c r="A8" t="s">
        <v>192</v>
      </c>
      <c r="C8" t="s">
        <v>136</v>
      </c>
      <c r="D8" t="s">
        <v>124</v>
      </c>
      <c r="E8" t="s">
        <v>233</v>
      </c>
      <c r="F8">
        <v>1520</v>
      </c>
      <c r="G8">
        <v>1</v>
      </c>
      <c r="H8">
        <f t="shared" si="0"/>
        <v>1521</v>
      </c>
      <c r="I8">
        <v>3</v>
      </c>
      <c r="J8">
        <v>1</v>
      </c>
      <c r="L8">
        <v>1</v>
      </c>
      <c r="M8">
        <v>1</v>
      </c>
      <c r="N8">
        <v>0</v>
      </c>
    </row>
    <row r="9" spans="1:20" x14ac:dyDescent="0.25">
      <c r="A9" t="s">
        <v>193</v>
      </c>
      <c r="C9" t="s">
        <v>137</v>
      </c>
      <c r="D9" t="s">
        <v>138</v>
      </c>
      <c r="E9" t="s">
        <v>233</v>
      </c>
      <c r="F9">
        <v>1520</v>
      </c>
      <c r="G9">
        <v>1</v>
      </c>
      <c r="H9">
        <f t="shared" si="0"/>
        <v>1521</v>
      </c>
      <c r="I9">
        <v>4</v>
      </c>
      <c r="J9">
        <v>1</v>
      </c>
      <c r="L9">
        <v>1</v>
      </c>
      <c r="M9">
        <v>10</v>
      </c>
      <c r="N9">
        <v>0</v>
      </c>
    </row>
    <row r="10" spans="1:20" x14ac:dyDescent="0.25">
      <c r="A10" t="s">
        <v>194</v>
      </c>
      <c r="C10" t="s">
        <v>139</v>
      </c>
      <c r="D10" t="s">
        <v>140</v>
      </c>
      <c r="E10" t="s">
        <v>233</v>
      </c>
      <c r="F10">
        <v>1520</v>
      </c>
      <c r="G10">
        <v>2</v>
      </c>
      <c r="H10">
        <f t="shared" si="0"/>
        <v>1522</v>
      </c>
      <c r="I10">
        <v>0</v>
      </c>
      <c r="J10">
        <v>2</v>
      </c>
      <c r="K10" t="s">
        <v>125</v>
      </c>
      <c r="L10">
        <v>1</v>
      </c>
      <c r="M10">
        <v>10</v>
      </c>
      <c r="N10">
        <v>0</v>
      </c>
    </row>
    <row r="11" spans="1:20" x14ac:dyDescent="0.25">
      <c r="A11" t="s">
        <v>195</v>
      </c>
      <c r="C11" t="s">
        <v>141</v>
      </c>
      <c r="D11" t="s">
        <v>140</v>
      </c>
      <c r="E11" t="s">
        <v>233</v>
      </c>
      <c r="F11">
        <v>1520</v>
      </c>
      <c r="G11">
        <v>2</v>
      </c>
      <c r="H11">
        <f t="shared" si="0"/>
        <v>1522</v>
      </c>
      <c r="I11">
        <v>2</v>
      </c>
      <c r="J11">
        <v>2</v>
      </c>
      <c r="K11" t="s">
        <v>125</v>
      </c>
      <c r="L11">
        <v>1</v>
      </c>
      <c r="M11">
        <v>10</v>
      </c>
      <c r="N11">
        <v>0</v>
      </c>
    </row>
    <row r="12" spans="1:20" x14ac:dyDescent="0.25">
      <c r="A12" t="s">
        <v>196</v>
      </c>
      <c r="C12" t="s">
        <v>142</v>
      </c>
      <c r="D12" t="s">
        <v>143</v>
      </c>
      <c r="E12" t="s">
        <v>233</v>
      </c>
      <c r="F12">
        <v>1520</v>
      </c>
      <c r="G12">
        <v>2</v>
      </c>
      <c r="H12">
        <f t="shared" si="0"/>
        <v>1522</v>
      </c>
      <c r="I12">
        <v>4</v>
      </c>
      <c r="J12">
        <v>2</v>
      </c>
      <c r="K12" t="s">
        <v>125</v>
      </c>
      <c r="L12">
        <v>1</v>
      </c>
      <c r="M12">
        <v>10</v>
      </c>
      <c r="N12">
        <v>0</v>
      </c>
    </row>
    <row r="13" spans="1:20" x14ac:dyDescent="0.25">
      <c r="A13" t="s">
        <v>197</v>
      </c>
      <c r="C13" t="s">
        <v>144</v>
      </c>
      <c r="D13" t="s">
        <v>143</v>
      </c>
      <c r="E13" t="s">
        <v>233</v>
      </c>
      <c r="F13">
        <v>1520</v>
      </c>
      <c r="G13">
        <v>2</v>
      </c>
      <c r="H13">
        <f t="shared" si="0"/>
        <v>1522</v>
      </c>
      <c r="I13">
        <v>6</v>
      </c>
      <c r="J13">
        <v>2</v>
      </c>
      <c r="K13" t="s">
        <v>125</v>
      </c>
      <c r="L13">
        <v>1</v>
      </c>
      <c r="M13">
        <v>10</v>
      </c>
      <c r="N13">
        <v>0</v>
      </c>
    </row>
    <row r="14" spans="1:20" x14ac:dyDescent="0.25">
      <c r="A14" t="s">
        <v>198</v>
      </c>
      <c r="C14" t="s">
        <v>145</v>
      </c>
      <c r="D14" t="s">
        <v>146</v>
      </c>
      <c r="E14" t="s">
        <v>233</v>
      </c>
      <c r="F14">
        <v>1520</v>
      </c>
      <c r="G14">
        <v>3</v>
      </c>
      <c r="H14">
        <f t="shared" si="0"/>
        <v>1523</v>
      </c>
      <c r="I14">
        <v>0</v>
      </c>
      <c r="J14">
        <v>2</v>
      </c>
      <c r="K14" t="s">
        <v>125</v>
      </c>
      <c r="L14">
        <v>1</v>
      </c>
      <c r="M14">
        <v>10</v>
      </c>
      <c r="N14">
        <v>0</v>
      </c>
    </row>
    <row r="15" spans="1:20" x14ac:dyDescent="0.25">
      <c r="A15" t="s">
        <v>244</v>
      </c>
      <c r="C15" t="s">
        <v>245</v>
      </c>
      <c r="D15" t="s">
        <v>147</v>
      </c>
      <c r="E15" t="s">
        <v>233</v>
      </c>
      <c r="F15">
        <v>1520</v>
      </c>
      <c r="G15">
        <v>3</v>
      </c>
      <c r="H15">
        <f t="shared" si="0"/>
        <v>1523</v>
      </c>
      <c r="I15">
        <v>2</v>
      </c>
      <c r="J15">
        <v>2</v>
      </c>
      <c r="K15" t="s">
        <v>125</v>
      </c>
      <c r="L15">
        <v>1</v>
      </c>
      <c r="M15">
        <v>10</v>
      </c>
      <c r="N15">
        <v>0</v>
      </c>
    </row>
    <row r="16" spans="1:20" x14ac:dyDescent="0.25">
      <c r="A16" t="s">
        <v>199</v>
      </c>
      <c r="C16" t="s">
        <v>148</v>
      </c>
      <c r="D16" t="s">
        <v>138</v>
      </c>
      <c r="E16" t="s">
        <v>233</v>
      </c>
      <c r="F16">
        <v>1520</v>
      </c>
      <c r="G16">
        <v>3</v>
      </c>
      <c r="H16">
        <f t="shared" si="0"/>
        <v>1523</v>
      </c>
      <c r="I16">
        <v>4</v>
      </c>
      <c r="J16">
        <v>2</v>
      </c>
      <c r="K16" t="s">
        <v>125</v>
      </c>
      <c r="L16">
        <v>1</v>
      </c>
      <c r="M16">
        <v>10</v>
      </c>
      <c r="N16">
        <v>0</v>
      </c>
    </row>
    <row r="17" spans="1:14" x14ac:dyDescent="0.25">
      <c r="A17" t="s">
        <v>200</v>
      </c>
      <c r="C17" t="s">
        <v>149</v>
      </c>
      <c r="D17" t="s">
        <v>138</v>
      </c>
      <c r="E17" t="s">
        <v>233</v>
      </c>
      <c r="F17">
        <v>1520</v>
      </c>
      <c r="G17">
        <v>3</v>
      </c>
      <c r="H17">
        <f t="shared" si="0"/>
        <v>1523</v>
      </c>
      <c r="I17">
        <v>6</v>
      </c>
      <c r="J17">
        <v>2</v>
      </c>
      <c r="K17" t="s">
        <v>125</v>
      </c>
      <c r="L17">
        <v>1</v>
      </c>
      <c r="M17">
        <v>10</v>
      </c>
      <c r="N17">
        <v>0</v>
      </c>
    </row>
    <row r="18" spans="1:14" x14ac:dyDescent="0.25">
      <c r="A18" t="s">
        <v>201</v>
      </c>
      <c r="C18" t="s">
        <v>150</v>
      </c>
      <c r="D18" t="s">
        <v>146</v>
      </c>
      <c r="E18" t="s">
        <v>233</v>
      </c>
      <c r="F18">
        <v>1520</v>
      </c>
      <c r="G18">
        <v>4</v>
      </c>
      <c r="H18">
        <f t="shared" si="0"/>
        <v>1524</v>
      </c>
      <c r="I18">
        <v>0</v>
      </c>
      <c r="J18">
        <v>2</v>
      </c>
      <c r="K18" t="s">
        <v>125</v>
      </c>
      <c r="L18">
        <v>1</v>
      </c>
      <c r="M18">
        <v>10</v>
      </c>
      <c r="N18">
        <v>0</v>
      </c>
    </row>
    <row r="19" spans="1:14" x14ac:dyDescent="0.25">
      <c r="A19" t="s">
        <v>202</v>
      </c>
      <c r="C19" t="s">
        <v>151</v>
      </c>
      <c r="D19" t="s">
        <v>146</v>
      </c>
      <c r="E19" t="s">
        <v>233</v>
      </c>
      <c r="F19">
        <v>1520</v>
      </c>
      <c r="G19">
        <v>4</v>
      </c>
      <c r="H19">
        <f t="shared" si="0"/>
        <v>1524</v>
      </c>
      <c r="I19">
        <v>2</v>
      </c>
      <c r="J19">
        <v>2</v>
      </c>
      <c r="K19" t="s">
        <v>125</v>
      </c>
      <c r="L19">
        <v>1</v>
      </c>
      <c r="M19">
        <v>10</v>
      </c>
      <c r="N19">
        <v>0</v>
      </c>
    </row>
    <row r="20" spans="1:14" x14ac:dyDescent="0.25">
      <c r="A20" t="s">
        <v>203</v>
      </c>
      <c r="C20" t="s">
        <v>152</v>
      </c>
      <c r="D20" t="s">
        <v>146</v>
      </c>
      <c r="E20" t="s">
        <v>233</v>
      </c>
      <c r="F20">
        <v>1520</v>
      </c>
      <c r="G20">
        <v>4</v>
      </c>
      <c r="H20">
        <f t="shared" si="0"/>
        <v>1524</v>
      </c>
      <c r="I20">
        <v>4</v>
      </c>
      <c r="J20">
        <v>2</v>
      </c>
      <c r="K20" t="s">
        <v>125</v>
      </c>
      <c r="L20">
        <v>1</v>
      </c>
      <c r="M20">
        <v>10</v>
      </c>
      <c r="N20">
        <v>0</v>
      </c>
    </row>
    <row r="21" spans="1:14" x14ac:dyDescent="0.25">
      <c r="A21" t="s">
        <v>204</v>
      </c>
      <c r="C21" t="s">
        <v>153</v>
      </c>
      <c r="D21" t="s">
        <v>146</v>
      </c>
      <c r="E21" t="s">
        <v>233</v>
      </c>
      <c r="F21">
        <v>1520</v>
      </c>
      <c r="G21">
        <v>4</v>
      </c>
      <c r="H21">
        <f t="shared" si="0"/>
        <v>1524</v>
      </c>
      <c r="I21">
        <v>6</v>
      </c>
      <c r="J21">
        <v>2</v>
      </c>
      <c r="K21" t="s">
        <v>125</v>
      </c>
      <c r="L21">
        <v>1</v>
      </c>
      <c r="M21">
        <v>10</v>
      </c>
      <c r="N21">
        <v>0</v>
      </c>
    </row>
    <row r="22" spans="1:14" x14ac:dyDescent="0.25">
      <c r="A22" t="s">
        <v>205</v>
      </c>
      <c r="C22" t="s">
        <v>154</v>
      </c>
      <c r="D22" t="s">
        <v>146</v>
      </c>
      <c r="E22" t="s">
        <v>233</v>
      </c>
      <c r="F22">
        <v>1520</v>
      </c>
      <c r="G22">
        <v>5</v>
      </c>
      <c r="H22">
        <f t="shared" si="0"/>
        <v>1525</v>
      </c>
      <c r="I22">
        <v>0</v>
      </c>
      <c r="J22">
        <v>2</v>
      </c>
      <c r="K22" t="s">
        <v>125</v>
      </c>
      <c r="L22">
        <v>1</v>
      </c>
      <c r="M22">
        <v>10</v>
      </c>
      <c r="N22">
        <v>0</v>
      </c>
    </row>
    <row r="23" spans="1:14" x14ac:dyDescent="0.25">
      <c r="A23" t="s">
        <v>206</v>
      </c>
      <c r="C23" t="s">
        <v>155</v>
      </c>
      <c r="D23" t="s">
        <v>146</v>
      </c>
      <c r="E23" t="s">
        <v>233</v>
      </c>
      <c r="F23">
        <v>1520</v>
      </c>
      <c r="G23">
        <v>5</v>
      </c>
      <c r="H23">
        <f t="shared" si="0"/>
        <v>1525</v>
      </c>
      <c r="I23">
        <v>2</v>
      </c>
      <c r="J23">
        <v>2</v>
      </c>
      <c r="K23" t="s">
        <v>125</v>
      </c>
      <c r="L23">
        <v>1</v>
      </c>
      <c r="M23">
        <v>10</v>
      </c>
      <c r="N23">
        <v>0</v>
      </c>
    </row>
    <row r="24" spans="1:14" x14ac:dyDescent="0.25">
      <c r="A24" t="s">
        <v>207</v>
      </c>
      <c r="C24" t="s">
        <v>156</v>
      </c>
      <c r="D24" t="s">
        <v>146</v>
      </c>
      <c r="E24" t="s">
        <v>233</v>
      </c>
      <c r="F24">
        <v>1520</v>
      </c>
      <c r="G24">
        <v>5</v>
      </c>
      <c r="H24">
        <f t="shared" si="0"/>
        <v>1525</v>
      </c>
      <c r="I24">
        <v>4</v>
      </c>
      <c r="J24">
        <v>2</v>
      </c>
      <c r="K24" t="s">
        <v>125</v>
      </c>
      <c r="L24">
        <v>1</v>
      </c>
      <c r="M24">
        <v>10</v>
      </c>
      <c r="N24">
        <v>0</v>
      </c>
    </row>
    <row r="25" spans="1:14" x14ac:dyDescent="0.25">
      <c r="A25" t="s">
        <v>208</v>
      </c>
      <c r="C25" t="s">
        <v>157</v>
      </c>
      <c r="D25" t="s">
        <v>146</v>
      </c>
      <c r="E25" t="s">
        <v>233</v>
      </c>
      <c r="F25">
        <v>1520</v>
      </c>
      <c r="G25">
        <v>5</v>
      </c>
      <c r="H25">
        <f t="shared" si="0"/>
        <v>1525</v>
      </c>
      <c r="I25">
        <v>6</v>
      </c>
      <c r="J25">
        <v>2</v>
      </c>
      <c r="K25" t="s">
        <v>125</v>
      </c>
      <c r="L25">
        <v>1</v>
      </c>
      <c r="M25">
        <v>10</v>
      </c>
      <c r="N25">
        <v>0</v>
      </c>
    </row>
    <row r="26" spans="1:14" x14ac:dyDescent="0.25">
      <c r="A26" t="s">
        <v>209</v>
      </c>
      <c r="C26" t="s">
        <v>158</v>
      </c>
      <c r="D26" t="s">
        <v>146</v>
      </c>
      <c r="E26" t="s">
        <v>233</v>
      </c>
      <c r="F26">
        <v>1520</v>
      </c>
      <c r="G26">
        <v>6</v>
      </c>
      <c r="H26">
        <f t="shared" si="0"/>
        <v>1526</v>
      </c>
      <c r="I26">
        <v>0</v>
      </c>
      <c r="J26">
        <v>2</v>
      </c>
      <c r="K26" t="s">
        <v>125</v>
      </c>
      <c r="L26">
        <v>1</v>
      </c>
      <c r="M26">
        <v>10</v>
      </c>
      <c r="N26">
        <v>0</v>
      </c>
    </row>
    <row r="27" spans="1:14" x14ac:dyDescent="0.25">
      <c r="A27" t="s">
        <v>210</v>
      </c>
      <c r="C27" t="s">
        <v>159</v>
      </c>
      <c r="D27" t="s">
        <v>146</v>
      </c>
      <c r="E27" t="s">
        <v>233</v>
      </c>
      <c r="F27">
        <v>1520</v>
      </c>
      <c r="G27">
        <v>6</v>
      </c>
      <c r="H27">
        <f t="shared" si="0"/>
        <v>1526</v>
      </c>
      <c r="I27">
        <v>2</v>
      </c>
      <c r="J27">
        <v>2</v>
      </c>
      <c r="K27" t="s">
        <v>125</v>
      </c>
      <c r="L27">
        <v>1</v>
      </c>
      <c r="M27">
        <v>10</v>
      </c>
      <c r="N27">
        <v>0</v>
      </c>
    </row>
    <row r="28" spans="1:14" x14ac:dyDescent="0.25">
      <c r="A28" t="s">
        <v>211</v>
      </c>
      <c r="C28" t="s">
        <v>160</v>
      </c>
      <c r="D28" t="s">
        <v>146</v>
      </c>
      <c r="E28" t="s">
        <v>233</v>
      </c>
      <c r="F28">
        <v>1520</v>
      </c>
      <c r="G28">
        <v>6</v>
      </c>
      <c r="H28">
        <f t="shared" si="0"/>
        <v>1526</v>
      </c>
      <c r="I28">
        <v>4</v>
      </c>
      <c r="J28">
        <v>2</v>
      </c>
      <c r="K28" t="s">
        <v>125</v>
      </c>
      <c r="L28">
        <v>1</v>
      </c>
      <c r="M28">
        <v>10</v>
      </c>
      <c r="N28">
        <v>0</v>
      </c>
    </row>
    <row r="29" spans="1:14" x14ac:dyDescent="0.25">
      <c r="A29" t="s">
        <v>235</v>
      </c>
      <c r="C29" t="s">
        <v>234</v>
      </c>
      <c r="D29" t="s">
        <v>236</v>
      </c>
      <c r="E29" t="s">
        <v>233</v>
      </c>
      <c r="F29">
        <v>1520</v>
      </c>
      <c r="G29">
        <v>6</v>
      </c>
      <c r="H29">
        <f t="shared" si="0"/>
        <v>1526</v>
      </c>
      <c r="I29">
        <v>6</v>
      </c>
      <c r="J29">
        <v>2</v>
      </c>
      <c r="K29" t="s">
        <v>125</v>
      </c>
      <c r="L29">
        <v>392</v>
      </c>
      <c r="M29">
        <v>1000</v>
      </c>
      <c r="N29">
        <v>0</v>
      </c>
    </row>
    <row r="30" spans="1:14" x14ac:dyDescent="0.25">
      <c r="A30" t="s">
        <v>212</v>
      </c>
      <c r="C30" t="s">
        <v>161</v>
      </c>
      <c r="D30" t="s">
        <v>162</v>
      </c>
      <c r="E30" t="s">
        <v>233</v>
      </c>
      <c r="F30">
        <v>1520</v>
      </c>
      <c r="G30">
        <v>7</v>
      </c>
      <c r="H30">
        <f t="shared" si="0"/>
        <v>1527</v>
      </c>
      <c r="I30">
        <v>0</v>
      </c>
      <c r="J30">
        <v>2</v>
      </c>
      <c r="K30" t="s">
        <v>125</v>
      </c>
      <c r="L30">
        <v>1</v>
      </c>
      <c r="M30">
        <v>10</v>
      </c>
      <c r="N30">
        <v>0</v>
      </c>
    </row>
    <row r="31" spans="1:14" x14ac:dyDescent="0.25">
      <c r="A31" t="s">
        <v>213</v>
      </c>
      <c r="C31" t="s">
        <v>163</v>
      </c>
      <c r="D31" t="s">
        <v>164</v>
      </c>
      <c r="E31" t="s">
        <v>233</v>
      </c>
      <c r="F31">
        <v>1520</v>
      </c>
      <c r="G31">
        <v>7</v>
      </c>
      <c r="H31">
        <f t="shared" si="0"/>
        <v>1527</v>
      </c>
      <c r="I31">
        <v>2</v>
      </c>
      <c r="J31">
        <v>2</v>
      </c>
      <c r="K31" t="s">
        <v>125</v>
      </c>
      <c r="L31">
        <v>1</v>
      </c>
      <c r="M31">
        <v>10</v>
      </c>
      <c r="N31">
        <v>0</v>
      </c>
    </row>
    <row r="32" spans="1:14" x14ac:dyDescent="0.25">
      <c r="A32" t="s">
        <v>214</v>
      </c>
      <c r="C32" t="s">
        <v>165</v>
      </c>
      <c r="D32" t="s">
        <v>166</v>
      </c>
      <c r="E32" t="s">
        <v>233</v>
      </c>
      <c r="F32">
        <v>1520</v>
      </c>
      <c r="G32">
        <v>7</v>
      </c>
      <c r="H32">
        <f t="shared" si="0"/>
        <v>1527</v>
      </c>
      <c r="I32">
        <v>4</v>
      </c>
      <c r="J32">
        <v>2</v>
      </c>
      <c r="K32" t="s">
        <v>125</v>
      </c>
      <c r="L32">
        <v>1</v>
      </c>
      <c r="M32">
        <v>1</v>
      </c>
      <c r="N32">
        <v>0</v>
      </c>
    </row>
    <row r="33" spans="1:14" x14ac:dyDescent="0.25">
      <c r="A33" t="s">
        <v>215</v>
      </c>
      <c r="C33" t="s">
        <v>167</v>
      </c>
      <c r="D33" t="s">
        <v>168</v>
      </c>
      <c r="E33" t="s">
        <v>233</v>
      </c>
      <c r="F33">
        <v>1520</v>
      </c>
      <c r="G33">
        <v>7</v>
      </c>
      <c r="H33">
        <f t="shared" si="0"/>
        <v>1527</v>
      </c>
      <c r="I33">
        <v>6</v>
      </c>
      <c r="J33">
        <v>2</v>
      </c>
      <c r="K33" t="s">
        <v>125</v>
      </c>
      <c r="L33">
        <v>10</v>
      </c>
      <c r="M33">
        <v>1</v>
      </c>
      <c r="N33">
        <v>0</v>
      </c>
    </row>
    <row r="34" spans="1:14" x14ac:dyDescent="0.25">
      <c r="A34" t="s">
        <v>216</v>
      </c>
      <c r="C34" t="s">
        <v>169</v>
      </c>
      <c r="D34" t="s">
        <v>146</v>
      </c>
      <c r="E34" t="s">
        <v>233</v>
      </c>
      <c r="F34">
        <v>1520</v>
      </c>
      <c r="G34">
        <v>8</v>
      </c>
      <c r="H34">
        <f t="shared" si="0"/>
        <v>1528</v>
      </c>
      <c r="I34">
        <v>4</v>
      </c>
      <c r="J34">
        <v>2</v>
      </c>
      <c r="K34" t="s">
        <v>125</v>
      </c>
      <c r="L34">
        <v>1</v>
      </c>
      <c r="M34">
        <v>10</v>
      </c>
      <c r="N34">
        <v>0</v>
      </c>
    </row>
    <row r="35" spans="1:14" x14ac:dyDescent="0.25">
      <c r="A35" t="s">
        <v>217</v>
      </c>
      <c r="C35" t="s">
        <v>170</v>
      </c>
      <c r="D35" t="s">
        <v>147</v>
      </c>
      <c r="E35" t="s">
        <v>233</v>
      </c>
      <c r="F35">
        <v>1520</v>
      </c>
      <c r="G35">
        <v>9</v>
      </c>
      <c r="H35">
        <f t="shared" si="0"/>
        <v>1529</v>
      </c>
      <c r="I35">
        <v>0</v>
      </c>
      <c r="J35">
        <v>2</v>
      </c>
      <c r="K35" t="s">
        <v>125</v>
      </c>
      <c r="L35">
        <v>1</v>
      </c>
      <c r="M35">
        <v>100</v>
      </c>
      <c r="N35">
        <v>0</v>
      </c>
    </row>
    <row r="36" spans="1:14" x14ac:dyDescent="0.25">
      <c r="A36" t="s">
        <v>218</v>
      </c>
      <c r="C36" t="s">
        <v>171</v>
      </c>
      <c r="D36" t="s">
        <v>147</v>
      </c>
      <c r="E36" t="s">
        <v>233</v>
      </c>
      <c r="F36">
        <v>1520</v>
      </c>
      <c r="G36">
        <v>9</v>
      </c>
      <c r="H36">
        <f t="shared" si="0"/>
        <v>1529</v>
      </c>
      <c r="I36">
        <v>2</v>
      </c>
      <c r="J36">
        <v>2</v>
      </c>
      <c r="K36" t="s">
        <v>125</v>
      </c>
      <c r="L36">
        <v>1</v>
      </c>
      <c r="M36">
        <v>100</v>
      </c>
      <c r="N36">
        <v>0</v>
      </c>
    </row>
    <row r="37" spans="1:14" x14ac:dyDescent="0.25">
      <c r="A37" t="s">
        <v>219</v>
      </c>
      <c r="C37" t="s">
        <v>172</v>
      </c>
      <c r="D37" t="s">
        <v>129</v>
      </c>
      <c r="E37" t="s">
        <v>233</v>
      </c>
      <c r="F37">
        <v>1520</v>
      </c>
      <c r="G37">
        <v>9</v>
      </c>
      <c r="H37">
        <f t="shared" si="0"/>
        <v>1529</v>
      </c>
      <c r="I37">
        <v>4</v>
      </c>
      <c r="J37">
        <v>2</v>
      </c>
      <c r="L37">
        <v>1</v>
      </c>
      <c r="M37">
        <v>10</v>
      </c>
      <c r="N37">
        <v>0</v>
      </c>
    </row>
    <row r="38" spans="1:14" x14ac:dyDescent="0.25">
      <c r="A38" t="s">
        <v>220</v>
      </c>
      <c r="C38" t="s">
        <v>173</v>
      </c>
      <c r="D38" t="s">
        <v>129</v>
      </c>
      <c r="E38" t="s">
        <v>233</v>
      </c>
      <c r="F38">
        <v>1520</v>
      </c>
      <c r="G38">
        <v>9</v>
      </c>
      <c r="H38">
        <f t="shared" si="0"/>
        <v>1529</v>
      </c>
      <c r="I38">
        <v>6</v>
      </c>
      <c r="J38">
        <v>2</v>
      </c>
      <c r="L38">
        <v>1</v>
      </c>
      <c r="M38">
        <v>10</v>
      </c>
      <c r="N38">
        <v>0</v>
      </c>
    </row>
    <row r="39" spans="1:14" x14ac:dyDescent="0.25">
      <c r="A39" t="s">
        <v>221</v>
      </c>
      <c r="C39" t="s">
        <v>174</v>
      </c>
      <c r="D39" t="s">
        <v>140</v>
      </c>
      <c r="E39" t="s">
        <v>233</v>
      </c>
      <c r="F39">
        <v>1520</v>
      </c>
      <c r="G39">
        <v>17</v>
      </c>
      <c r="H39">
        <f t="shared" ref="H39:H40" si="1">F39+G39</f>
        <v>1537</v>
      </c>
      <c r="I39">
        <v>0</v>
      </c>
      <c r="J39">
        <v>2</v>
      </c>
      <c r="K39" t="s">
        <v>125</v>
      </c>
      <c r="L39">
        <v>1</v>
      </c>
      <c r="M39">
        <v>10</v>
      </c>
      <c r="N39">
        <v>0</v>
      </c>
    </row>
    <row r="40" spans="1:14" x14ac:dyDescent="0.25">
      <c r="A40" t="s">
        <v>222</v>
      </c>
      <c r="C40" t="s">
        <v>175</v>
      </c>
      <c r="D40" t="s">
        <v>146</v>
      </c>
      <c r="E40" t="s">
        <v>233</v>
      </c>
      <c r="F40">
        <v>1520</v>
      </c>
      <c r="G40">
        <v>17</v>
      </c>
      <c r="H40">
        <f t="shared" si="1"/>
        <v>1537</v>
      </c>
      <c r="I40">
        <v>4</v>
      </c>
      <c r="J40">
        <v>1</v>
      </c>
      <c r="L40">
        <v>1</v>
      </c>
      <c r="M40">
        <v>1</v>
      </c>
      <c r="N40">
        <v>0</v>
      </c>
    </row>
    <row r="41" spans="1:14" x14ac:dyDescent="0.25">
      <c r="A41" t="s">
        <v>223</v>
      </c>
      <c r="C41" t="s">
        <v>176</v>
      </c>
      <c r="D41" t="s">
        <v>146</v>
      </c>
      <c r="E41" t="s">
        <v>233</v>
      </c>
      <c r="F41">
        <v>1520</v>
      </c>
      <c r="G41">
        <v>47</v>
      </c>
      <c r="H41">
        <f t="shared" ref="H41:H46" si="2">F41+G41</f>
        <v>1567</v>
      </c>
      <c r="I41">
        <v>0</v>
      </c>
      <c r="J41">
        <v>2</v>
      </c>
      <c r="K41" t="s">
        <v>125</v>
      </c>
      <c r="L41">
        <v>1</v>
      </c>
      <c r="M41">
        <v>10</v>
      </c>
      <c r="N41">
        <v>0</v>
      </c>
    </row>
    <row r="42" spans="1:14" x14ac:dyDescent="0.25">
      <c r="A42" t="s">
        <v>224</v>
      </c>
      <c r="C42" t="s">
        <v>177</v>
      </c>
      <c r="D42" t="s">
        <v>146</v>
      </c>
      <c r="E42" t="s">
        <v>233</v>
      </c>
      <c r="F42">
        <v>1520</v>
      </c>
      <c r="G42">
        <v>47</v>
      </c>
      <c r="H42">
        <f t="shared" si="2"/>
        <v>1567</v>
      </c>
      <c r="I42">
        <v>2</v>
      </c>
      <c r="J42">
        <v>2</v>
      </c>
      <c r="K42" t="s">
        <v>125</v>
      </c>
      <c r="L42">
        <v>1</v>
      </c>
      <c r="M42">
        <v>10</v>
      </c>
      <c r="N42">
        <v>0</v>
      </c>
    </row>
    <row r="43" spans="1:14" x14ac:dyDescent="0.25">
      <c r="A43" t="s">
        <v>225</v>
      </c>
      <c r="C43" t="s">
        <v>178</v>
      </c>
      <c r="D43" t="s">
        <v>146</v>
      </c>
      <c r="E43" t="s">
        <v>233</v>
      </c>
      <c r="F43">
        <v>1520</v>
      </c>
      <c r="G43">
        <v>50</v>
      </c>
      <c r="H43">
        <f t="shared" si="2"/>
        <v>1570</v>
      </c>
      <c r="I43">
        <v>0</v>
      </c>
      <c r="J43">
        <v>2</v>
      </c>
      <c r="K43" t="s">
        <v>125</v>
      </c>
      <c r="L43">
        <v>1</v>
      </c>
      <c r="M43">
        <v>10</v>
      </c>
      <c r="N43">
        <v>0</v>
      </c>
    </row>
    <row r="44" spans="1:14" x14ac:dyDescent="0.25">
      <c r="A44" t="s">
        <v>226</v>
      </c>
      <c r="C44" t="s">
        <v>179</v>
      </c>
      <c r="D44" t="s">
        <v>146</v>
      </c>
      <c r="E44" t="s">
        <v>233</v>
      </c>
      <c r="F44">
        <v>1520</v>
      </c>
      <c r="G44">
        <v>50</v>
      </c>
      <c r="H44">
        <f t="shared" si="2"/>
        <v>1570</v>
      </c>
      <c r="I44">
        <v>2</v>
      </c>
      <c r="J44">
        <v>2</v>
      </c>
      <c r="K44" t="s">
        <v>125</v>
      </c>
      <c r="L44">
        <v>1</v>
      </c>
      <c r="M44">
        <v>10</v>
      </c>
      <c r="N44">
        <v>0</v>
      </c>
    </row>
    <row r="45" spans="1:14" x14ac:dyDescent="0.25">
      <c r="A45" t="s">
        <v>227</v>
      </c>
      <c r="C45" t="s">
        <v>180</v>
      </c>
      <c r="D45" t="s">
        <v>162</v>
      </c>
      <c r="E45" t="s">
        <v>233</v>
      </c>
      <c r="F45">
        <v>1520</v>
      </c>
      <c r="G45">
        <v>52</v>
      </c>
      <c r="H45">
        <f t="shared" si="2"/>
        <v>1572</v>
      </c>
      <c r="I45">
        <v>3</v>
      </c>
      <c r="J45">
        <v>1</v>
      </c>
      <c r="L45">
        <v>1</v>
      </c>
      <c r="M45">
        <v>10</v>
      </c>
      <c r="N45">
        <v>0</v>
      </c>
    </row>
    <row r="46" spans="1:14" x14ac:dyDescent="0.25">
      <c r="A46" t="s">
        <v>228</v>
      </c>
      <c r="C46" t="s">
        <v>181</v>
      </c>
      <c r="D46" t="s">
        <v>182</v>
      </c>
      <c r="E46" t="s">
        <v>233</v>
      </c>
      <c r="F46">
        <v>1520</v>
      </c>
      <c r="G46">
        <v>52</v>
      </c>
      <c r="H46">
        <f t="shared" si="2"/>
        <v>1572</v>
      </c>
      <c r="I46">
        <v>4</v>
      </c>
      <c r="J46">
        <v>2</v>
      </c>
      <c r="L46">
        <v>1</v>
      </c>
      <c r="M46">
        <v>1</v>
      </c>
      <c r="N46">
        <v>0</v>
      </c>
    </row>
    <row r="47" spans="1:14" x14ac:dyDescent="0.25">
      <c r="A47" t="s">
        <v>229</v>
      </c>
      <c r="C47" t="s">
        <v>183</v>
      </c>
      <c r="D47" t="s">
        <v>162</v>
      </c>
      <c r="E47" t="s">
        <v>233</v>
      </c>
      <c r="F47">
        <v>1520</v>
      </c>
      <c r="G47">
        <v>57</v>
      </c>
      <c r="H47">
        <f t="shared" ref="H47:H57" si="3">F47+G47</f>
        <v>1577</v>
      </c>
      <c r="I47">
        <v>0</v>
      </c>
      <c r="J47">
        <v>2</v>
      </c>
      <c r="K47" t="s">
        <v>125</v>
      </c>
      <c r="L47">
        <v>1</v>
      </c>
      <c r="M47">
        <v>10</v>
      </c>
      <c r="N47">
        <v>0</v>
      </c>
    </row>
    <row r="48" spans="1:14" x14ac:dyDescent="0.25">
      <c r="A48" t="s">
        <v>230</v>
      </c>
      <c r="C48" t="s">
        <v>184</v>
      </c>
      <c r="D48" t="s">
        <v>162</v>
      </c>
      <c r="E48" t="s">
        <v>233</v>
      </c>
      <c r="F48">
        <v>1520</v>
      </c>
      <c r="G48">
        <v>57</v>
      </c>
      <c r="H48">
        <f t="shared" si="3"/>
        <v>1577</v>
      </c>
      <c r="I48">
        <v>2</v>
      </c>
      <c r="J48">
        <v>2</v>
      </c>
      <c r="K48" t="s">
        <v>125</v>
      </c>
      <c r="L48">
        <v>1</v>
      </c>
      <c r="M48">
        <v>10</v>
      </c>
      <c r="N48">
        <v>0</v>
      </c>
    </row>
    <row r="49" spans="1:14" x14ac:dyDescent="0.25">
      <c r="A49" t="s">
        <v>231</v>
      </c>
      <c r="C49" t="s">
        <v>185</v>
      </c>
      <c r="D49" t="s">
        <v>162</v>
      </c>
      <c r="E49" t="s">
        <v>233</v>
      </c>
      <c r="F49">
        <v>1520</v>
      </c>
      <c r="G49">
        <v>57</v>
      </c>
      <c r="H49">
        <f t="shared" si="3"/>
        <v>1577</v>
      </c>
      <c r="I49">
        <v>4</v>
      </c>
      <c r="J49">
        <v>2</v>
      </c>
      <c r="K49" t="s">
        <v>125</v>
      </c>
      <c r="L49">
        <v>1</v>
      </c>
      <c r="M49">
        <v>10</v>
      </c>
      <c r="N49">
        <v>0</v>
      </c>
    </row>
    <row r="50" spans="1:14" x14ac:dyDescent="0.25">
      <c r="A50" t="s">
        <v>232</v>
      </c>
      <c r="C50" t="s">
        <v>186</v>
      </c>
      <c r="D50" t="s">
        <v>162</v>
      </c>
      <c r="E50" t="s">
        <v>233</v>
      </c>
      <c r="F50">
        <v>1520</v>
      </c>
      <c r="G50">
        <v>57</v>
      </c>
      <c r="H50">
        <f t="shared" si="3"/>
        <v>1577</v>
      </c>
      <c r="I50">
        <v>6</v>
      </c>
      <c r="J50">
        <v>2</v>
      </c>
      <c r="K50" t="s">
        <v>125</v>
      </c>
      <c r="L50">
        <v>1</v>
      </c>
      <c r="M50">
        <v>10</v>
      </c>
      <c r="N50">
        <v>0</v>
      </c>
    </row>
    <row r="51" spans="1:14" x14ac:dyDescent="0.25">
      <c r="A51" t="s">
        <v>431</v>
      </c>
      <c r="C51" t="s">
        <v>429</v>
      </c>
      <c r="E51" t="s">
        <v>430</v>
      </c>
      <c r="F51">
        <v>256</v>
      </c>
      <c r="G51">
        <v>1</v>
      </c>
      <c r="H51">
        <f t="shared" si="3"/>
        <v>257</v>
      </c>
      <c r="I51">
        <v>0</v>
      </c>
      <c r="J51">
        <v>1</v>
      </c>
      <c r="L51">
        <v>1</v>
      </c>
      <c r="M51">
        <v>1</v>
      </c>
      <c r="N51">
        <v>0</v>
      </c>
    </row>
    <row r="52" spans="1:14" x14ac:dyDescent="0.25">
      <c r="A52" t="s">
        <v>432</v>
      </c>
      <c r="C52" t="s">
        <v>433</v>
      </c>
      <c r="E52" t="s">
        <v>430</v>
      </c>
      <c r="F52">
        <v>256</v>
      </c>
      <c r="G52">
        <v>1</v>
      </c>
      <c r="H52">
        <f t="shared" si="3"/>
        <v>257</v>
      </c>
      <c r="I52">
        <v>1</v>
      </c>
      <c r="J52">
        <v>1</v>
      </c>
      <c r="L52">
        <v>1</v>
      </c>
      <c r="M52">
        <v>1</v>
      </c>
      <c r="N52">
        <v>0</v>
      </c>
    </row>
    <row r="53" spans="1:14" x14ac:dyDescent="0.25">
      <c r="A53" t="s">
        <v>434</v>
      </c>
      <c r="C53" t="s">
        <v>435</v>
      </c>
      <c r="E53" t="s">
        <v>430</v>
      </c>
      <c r="F53">
        <v>256</v>
      </c>
      <c r="G53">
        <v>1</v>
      </c>
      <c r="H53">
        <f t="shared" si="3"/>
        <v>257</v>
      </c>
      <c r="I53">
        <v>2</v>
      </c>
      <c r="J53">
        <v>1</v>
      </c>
      <c r="L53">
        <v>1</v>
      </c>
      <c r="M53">
        <v>1</v>
      </c>
      <c r="N53">
        <v>0</v>
      </c>
    </row>
    <row r="54" spans="1:14" x14ac:dyDescent="0.25">
      <c r="A54" t="s">
        <v>436</v>
      </c>
      <c r="C54" t="s">
        <v>437</v>
      </c>
      <c r="E54" t="s">
        <v>430</v>
      </c>
      <c r="F54">
        <v>256</v>
      </c>
      <c r="G54">
        <v>1</v>
      </c>
      <c r="H54">
        <f t="shared" si="3"/>
        <v>257</v>
      </c>
      <c r="I54">
        <v>3</v>
      </c>
      <c r="J54">
        <v>1</v>
      </c>
      <c r="L54">
        <v>1</v>
      </c>
      <c r="M54">
        <v>1</v>
      </c>
      <c r="N54">
        <v>0</v>
      </c>
    </row>
    <row r="55" spans="1:14" x14ac:dyDescent="0.25">
      <c r="A55" t="s">
        <v>438</v>
      </c>
      <c r="C55" t="s">
        <v>439</v>
      </c>
      <c r="E55" t="s">
        <v>430</v>
      </c>
      <c r="F55">
        <v>256</v>
      </c>
      <c r="G55">
        <v>0</v>
      </c>
      <c r="H55">
        <f t="shared" si="3"/>
        <v>256</v>
      </c>
      <c r="I55">
        <v>0</v>
      </c>
      <c r="J55">
        <v>1</v>
      </c>
      <c r="L55">
        <v>1</v>
      </c>
      <c r="M55">
        <v>1</v>
      </c>
      <c r="N55">
        <v>0</v>
      </c>
    </row>
    <row r="56" spans="1:14" x14ac:dyDescent="0.25">
      <c r="A56" t="s">
        <v>440</v>
      </c>
      <c r="C56" t="s">
        <v>443</v>
      </c>
      <c r="E56" t="s">
        <v>430</v>
      </c>
      <c r="F56">
        <v>256</v>
      </c>
      <c r="G56">
        <v>0</v>
      </c>
      <c r="H56">
        <f t="shared" si="3"/>
        <v>256</v>
      </c>
      <c r="I56">
        <v>1</v>
      </c>
      <c r="J56">
        <v>1</v>
      </c>
      <c r="L56">
        <v>1</v>
      </c>
      <c r="M56">
        <v>1</v>
      </c>
      <c r="N56">
        <v>0</v>
      </c>
    </row>
    <row r="57" spans="1:14" x14ac:dyDescent="0.25">
      <c r="A57" t="s">
        <v>441</v>
      </c>
      <c r="C57" t="s">
        <v>442</v>
      </c>
      <c r="E57" t="s">
        <v>430</v>
      </c>
      <c r="F57">
        <v>256</v>
      </c>
      <c r="G57">
        <v>0</v>
      </c>
      <c r="H57">
        <f t="shared" si="3"/>
        <v>256</v>
      </c>
      <c r="I57">
        <v>2</v>
      </c>
      <c r="J57">
        <v>1</v>
      </c>
      <c r="L57">
        <v>1</v>
      </c>
      <c r="M57">
        <v>1</v>
      </c>
      <c r="N5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5E6A-6C13-4B5B-87E5-093EF25366BE}">
  <dimension ref="A1"/>
  <sheetViews>
    <sheetView workbookViewId="0">
      <selection activeCell="U45" sqref="U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MEL</vt:lpstr>
      <vt:lpstr>ECU</vt:lpstr>
      <vt:lpstr>PDM</vt:lpstr>
      <vt:lpstr>WHEEL</vt:lpstr>
      <vt:lpstr>DASH SCREENS</vt:lpstr>
      <vt:lpstr>DATA MUX</vt:lpstr>
      <vt:lpstr>Signals</vt:lpstr>
      <vt:lpstr>Definitions</vt:lpstr>
    </vt:vector>
  </TitlesOfParts>
  <Company>Shield 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Kuelbs (US)</dc:creator>
  <cp:lastModifiedBy>Rob Kuelbs (US)</cp:lastModifiedBy>
  <dcterms:created xsi:type="dcterms:W3CDTF">2026-07-02T20:47:49Z</dcterms:created>
  <dcterms:modified xsi:type="dcterms:W3CDTF">2026-07-16T02:48:45Z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2026-07-14T23:31:22Z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a65162ab-04b2-45e4-a743-83b84f2612d3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